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https://d.docs.live.net/b015e0ad977030d4/Documents/"/>
    </mc:Choice>
  </mc:AlternateContent>
  <xr:revisionPtr revIDLastSave="0" documentId="8_{3D072BF3-136C-40C7-A20C-2B75640B129F}" xr6:coauthVersionLast="47" xr6:coauthVersionMax="47" xr10:uidLastSave="{00000000-0000-0000-0000-000000000000}"/>
  <bookViews>
    <workbookView xWindow="-90" yWindow="-90" windowWidth="19380" windowHeight="10260" xr2:uid="{9855798C-0FD3-4B4A-B4B0-D9D8D8EDAB44}"/>
  </bookViews>
  <sheets>
    <sheet name="IntakeSheet3" sheetId="1" r:id="rId1"/>
  </sheets>
  <externalReferences>
    <externalReference r:id="rId2"/>
    <externalReference r:id="rId3"/>
  </externalReferences>
  <definedNames>
    <definedName name="_xleta.N" hidden="1" xlm="1">#NAME?</definedName>
    <definedName name="_xleta.SUM" hidden="1" xlm="1">#NAME?</definedName>
    <definedName name="BlastCost">[1]Plankton!$E$9</definedName>
    <definedName name="BlastCostCell">[1]!BaseKit1250LTbl[[#Totals],[Blast Cost Each]]</definedName>
    <definedName name="BlastMinPrice">[1]Quotinator3!$P$4</definedName>
    <definedName name="BlastRate1">[1]Settings!$G$3</definedName>
    <definedName name="BoxHeight">'[1]The Boxinator'!$H$9</definedName>
    <definedName name="BoxiSqFPrice">'[1]The Boxinator'!$D$16</definedName>
    <definedName name="BoxLength">'[1]The Boxinator'!$F$9</definedName>
    <definedName name="BoxWidth">'[1]The Boxinator'!$G$9</definedName>
    <definedName name="ColCode">#REF!</definedName>
    <definedName name="ColName">#REF!</definedName>
    <definedName name="ColumnTitle1">#REF!</definedName>
    <definedName name="Company" localSheetId="0">#REF!</definedName>
    <definedName name="Contacts_ID">OFFSET(#REF!,1,,COUNTA(#REF!)-1,1)</definedName>
    <definedName name="CustListTbl1">[2]!CustListTbl[[#All],[Commom Customer List]]</definedName>
    <definedName name="DivHeight">#REF!</definedName>
    <definedName name="DivHght">#REF!</definedName>
    <definedName name="DividerTbl" localSheetId="0">#REF!</definedName>
    <definedName name="DividerTbl">#REF!</definedName>
    <definedName name="DivLength">#REF!</definedName>
    <definedName name="DivLngth">#REF!</definedName>
    <definedName name="DivPercent">#REF!</definedName>
    <definedName name="DivPrcnt">#REF!</definedName>
    <definedName name="DivPrice">#REF!</definedName>
    <definedName name="DivPrice1">#REF!</definedName>
    <definedName name="EndTime">'[1]Quoting Start Page'!$N$29</definedName>
    <definedName name="ExtrTxt3">IntakeSheet3!#REF!</definedName>
    <definedName name="GlassTot">#REF!</definedName>
    <definedName name="Inventory_ID">OFFSET(#REF!,1,,COUNTA(#REF!)-1,1)</definedName>
    <definedName name="JobNumber">IntakeSheet3!$N$3</definedName>
    <definedName name="Outside6InCell">'[1]The Boxinator'!$M$19</definedName>
    <definedName name="OutsideOnlyCell">'[1]The Boxinator'!$S$19</definedName>
    <definedName name="OutsideOnlyNoTopCell">'[1]The Boxinator'!$S$12</definedName>
    <definedName name="OvGrabBr">[1]!OvrGrabBr1[Over Grab Bars]</definedName>
    <definedName name="OvHFt">#REF!</definedName>
    <definedName name="OvrGrabBr2">[1]!OvrGrabBr1[Over Grab Bars]</definedName>
    <definedName name="OvrHFt">#REF!</definedName>
    <definedName name="OvrLgnPerc">#REF!</definedName>
    <definedName name="OvrLgnthPerc">#REF!</definedName>
    <definedName name="PicketTot">#REF!</definedName>
    <definedName name="PicPcs">[1]Railinator3!#REF!</definedName>
    <definedName name="PipeSqFootage">[1]Quotinator3!#REF!</definedName>
    <definedName name="Powder_Color">[1]PowderInventory3!$I$8:$I$810</definedName>
    <definedName name="PowderColorList">[1]!PowderDataTbl3[[#Headers],[Powder Color3]]</definedName>
    <definedName name="Price">#REF!</definedName>
    <definedName name="_xlnm.Print_Area" localSheetId="0">IntakeSheet3!$D$2:$O$38</definedName>
    <definedName name="RailsInches">#REF!</definedName>
    <definedName name="RailsInInches">#REF!</definedName>
    <definedName name="SearchBy">OFFSET(#REF!,,,,COUNTA(#REF!))</definedName>
    <definedName name="ShopRate">[1]Quotinator3!$O$4</definedName>
    <definedName name="ShopRate1">[1]Settings!$F$3</definedName>
    <definedName name="SqFPrice">[1]Quotinator3!$Q$4</definedName>
    <definedName name="SqFtCellBoxinator">'[1]The Boxinator'!$E$16</definedName>
    <definedName name="StartTime">'[1]Quoting Start Page'!$L$29</definedName>
    <definedName name="StdHgh">#REF!</definedName>
    <definedName name="StdHght">#REF!</definedName>
    <definedName name="StdLng">#REF!</definedName>
    <definedName name="StdLngth">#REF!</definedName>
    <definedName name="Sum1x">"Rectangle: Diagonal Corners Rounded 7"</definedName>
    <definedName name="TotalInch" localSheetId="0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9" i="1" a="1"/>
  <c r="A9" i="1"/>
  <c r="A12" i="1" a="1"/>
  <c r="A12" i="1" s="1"/>
  <c r="A14" i="1" a="1"/>
  <c r="A14" i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<sst xmlns="http://schemas.openxmlformats.org/spreadsheetml/2006/main" count="34" uniqueCount="32">
  <si>
    <t>Total Spraying Time:</t>
  </si>
  <si>
    <t>Total Blast Time:</t>
  </si>
  <si>
    <t xml:space="preserve"> Powder Used:</t>
  </si>
  <si>
    <t>Measured / Counted By:</t>
  </si>
  <si>
    <t>F/A Time:</t>
  </si>
  <si>
    <t>Need Count</t>
  </si>
  <si>
    <t>Time &amp; Powder</t>
  </si>
  <si>
    <t>Need Length</t>
  </si>
  <si>
    <t>No</t>
  </si>
  <si>
    <t>Yes</t>
  </si>
  <si>
    <t>Y/N/M</t>
  </si>
  <si>
    <t>Pounds in Stock</t>
  </si>
  <si>
    <t>Manufacturer</t>
  </si>
  <si>
    <t>PARTS :</t>
  </si>
  <si>
    <t>Notes</t>
  </si>
  <si>
    <t>PROMISES NEEDED BY :</t>
  </si>
  <si>
    <t>Degrease</t>
  </si>
  <si>
    <t>Quote:</t>
  </si>
  <si>
    <t>PO#</t>
  </si>
  <si>
    <t>Date Checked</t>
  </si>
  <si>
    <t xml:space="preserve">Solar Flat Blk </t>
  </si>
  <si>
    <t xml:space="preserve">Tank / </t>
  </si>
  <si>
    <t xml:space="preserve"> </t>
  </si>
  <si>
    <t>Colour:</t>
  </si>
  <si>
    <t>Blast:</t>
  </si>
  <si>
    <t>Customer:</t>
  </si>
  <si>
    <t>Product code</t>
  </si>
  <si>
    <t>Aug</t>
  </si>
  <si>
    <t>Date:</t>
  </si>
  <si>
    <t>Victoria Powder Coating</t>
  </si>
  <si>
    <r>
      <rPr>
        <b/>
        <sz val="16"/>
        <color theme="1"/>
        <rFont val="Amasis MT Pro Black"/>
        <family val="1"/>
      </rPr>
      <t>Job #</t>
    </r>
    <r>
      <rPr>
        <b/>
        <sz val="26"/>
        <color theme="1"/>
        <rFont val="Amasis MT Pro Black"/>
        <family val="1"/>
      </rPr>
      <t xml:space="preserve"> </t>
    </r>
  </si>
  <si>
    <t>Customer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</si>
</sst>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[$-409]dd\-mmm\-yy;@"/>
  </numFmts>
  <fonts count="4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4" tint="-0.499984740745262"/>
      <name val="Aptos Narrow"/>
      <family val="1"/>
      <scheme val="minor"/>
    </font>
    <font>
      <sz val="8"/>
      <color theme="4" tint="-0.499984740745262"/>
      <name val="Aptos Narrow"/>
      <family val="1"/>
      <scheme val="minor"/>
    </font>
    <font>
      <sz val="11"/>
      <color theme="4" tint="-0.499984740745262"/>
      <name val="Aptos Narrow"/>
      <family val="2"/>
      <scheme val="minor"/>
    </font>
    <font>
      <sz val="7.5"/>
      <color theme="4" tint="-0.499984740745262"/>
      <name val="Aptos Narrow"/>
      <family val="1"/>
      <scheme val="minor"/>
    </font>
    <font>
      <b/>
      <sz val="10"/>
      <color theme="4" tint="-0.499984740745262"/>
      <name val="Aptos Narrow"/>
      <family val="1"/>
      <scheme val="minor"/>
    </font>
    <font>
      <b/>
      <i/>
      <sz val="10"/>
      <color theme="4" tint="-0.499984740745262"/>
      <name val="Aptos Narrow"/>
      <family val="1"/>
      <scheme val="minor"/>
    </font>
    <font>
      <sz val="10"/>
      <color theme="1"/>
      <name val="Aptos Narrow"/>
      <family val="1"/>
      <scheme val="minor"/>
    </font>
    <font>
      <sz val="8"/>
      <color theme="1"/>
      <name val="Aptos Narrow"/>
      <family val="1"/>
      <scheme val="minor"/>
    </font>
    <font>
      <i/>
      <sz val="8"/>
      <color theme="1"/>
      <name val="Aptos Narrow"/>
      <family val="1"/>
      <scheme val="minor"/>
    </font>
    <font>
      <sz val="8"/>
      <color theme="4" tint="-0.499984740745262"/>
      <name val="Amasis MT Pro Black"/>
      <family val="1"/>
    </font>
    <font>
      <sz val="8"/>
      <color theme="1"/>
      <name val="Amasis MT Pro Black"/>
      <family val="1"/>
    </font>
    <font>
      <b/>
      <u val="double"/>
      <sz val="12"/>
      <color theme="1"/>
      <name val="Amasis MT Pro Black"/>
      <family val="1"/>
    </font>
    <font>
      <b/>
      <sz val="12"/>
      <color theme="1"/>
      <name val="Amasis MT Pro Black"/>
      <family val="1"/>
    </font>
    <font>
      <sz val="11"/>
      <color theme="4" tint="-0.499984740745262"/>
      <name val="Calibri"/>
      <family val="2"/>
    </font>
    <font>
      <sz val="10"/>
      <color theme="4" tint="-0.499984740745262"/>
      <name val="Amasis MT Pro Black"/>
      <family val="1"/>
    </font>
    <font>
      <sz val="10"/>
      <color theme="1"/>
      <name val="Amasis MT Pro Black"/>
      <family val="1"/>
    </font>
    <font>
      <sz val="7.5"/>
      <color theme="4" tint="-0.499984740745262"/>
      <name val="Amasis MT Pro Black"/>
      <family val="1"/>
    </font>
    <font>
      <b/>
      <sz val="14"/>
      <color theme="4" tint="-0.499984740745262"/>
      <name val="Amasis MT Pro Black"/>
      <family val="1"/>
    </font>
    <font>
      <b/>
      <sz val="9"/>
      <color theme="4" tint="-0.499984740745262"/>
      <name val="ADLaM Display"/>
    </font>
    <font>
      <sz val="11"/>
      <color theme="4" tint="-0.499984740745262"/>
      <name val="Amasis MT Pro Black"/>
      <family val="1"/>
    </font>
    <font>
      <b/>
      <sz val="8"/>
      <color theme="4" tint="-0.499984740745262"/>
      <name val="ADLaM Display"/>
    </font>
    <font>
      <b/>
      <sz val="9"/>
      <color rgb="FFFF0000"/>
      <name val="ADLaM Display"/>
    </font>
    <font>
      <b/>
      <u/>
      <sz val="14"/>
      <color theme="4" tint="-0.499984740745262"/>
      <name val="Amasis MT Pro Black"/>
      <family val="1"/>
    </font>
    <font>
      <b/>
      <u/>
      <sz val="14"/>
      <color theme="1"/>
      <name val="Amasis MT Pro Black"/>
      <family val="1"/>
    </font>
    <font>
      <b/>
      <sz val="10"/>
      <name val="Aptos Display"/>
      <family val="2"/>
      <scheme val="major"/>
    </font>
    <font>
      <sz val="11"/>
      <color theme="1"/>
      <name val="Calibri"/>
      <family val="2"/>
    </font>
    <font>
      <b/>
      <sz val="10"/>
      <color theme="6"/>
      <name val="Aptos Narrow"/>
      <family val="1"/>
      <scheme val="minor"/>
    </font>
    <font>
      <sz val="7.5"/>
      <color theme="1"/>
      <name val="Aptos Narrow"/>
      <family val="1"/>
      <scheme val="minor"/>
    </font>
    <font>
      <sz val="9"/>
      <color theme="4" tint="-0.499984740745262"/>
      <name val="Aptos Narrow"/>
      <family val="1"/>
      <scheme val="minor"/>
    </font>
    <font>
      <b/>
      <sz val="14"/>
      <color rgb="FFFF0000"/>
      <name val="Amasis MT Pro Black"/>
      <family val="1"/>
    </font>
    <font>
      <b/>
      <sz val="12"/>
      <color theme="4" tint="-0.499984740745262"/>
      <name val="Amasis MT Pro Black"/>
      <family val="1"/>
    </font>
    <font>
      <b/>
      <sz val="12"/>
      <color rgb="FFFF0000"/>
      <name val="Amasis MT Pro Black"/>
      <family val="1"/>
    </font>
    <font>
      <b/>
      <sz val="18"/>
      <color theme="1"/>
      <name val="Amasis MT Pro Black"/>
      <family val="1"/>
    </font>
    <font>
      <b/>
      <sz val="14"/>
      <color theme="1"/>
      <name val="Amasis MT Pro Black"/>
      <family val="1"/>
    </font>
    <font>
      <b/>
      <sz val="16"/>
      <color theme="1"/>
      <name val="Amasis MT Pro Black"/>
      <family val="1"/>
    </font>
    <font>
      <b/>
      <u/>
      <sz val="16"/>
      <color theme="1"/>
      <name val="Amasis MT Pro Black"/>
      <family val="1"/>
    </font>
    <font>
      <b/>
      <sz val="15"/>
      <color theme="1"/>
      <name val="Amasis MT Pro Black"/>
      <family val="1"/>
    </font>
    <font>
      <b/>
      <u/>
      <sz val="18"/>
      <color theme="1"/>
      <name val="Amasis MT Pro Black"/>
      <family val="1"/>
    </font>
    <font>
      <b/>
      <sz val="12"/>
      <color theme="6"/>
      <name val="Aptos Narrow"/>
      <family val="2"/>
      <scheme val="minor"/>
    </font>
    <font>
      <b/>
      <sz val="18"/>
      <color theme="4" tint="-0.499984740745262"/>
      <name val="Aptos Narrow"/>
      <family val="2"/>
      <scheme val="minor"/>
    </font>
    <font>
      <b/>
      <sz val="48"/>
      <color theme="6"/>
      <name val="Aptos Display"/>
      <family val="2"/>
      <scheme val="major"/>
    </font>
    <font>
      <b/>
      <sz val="26"/>
      <color theme="1"/>
      <name val="Amasis MT Pro Black"/>
      <family val="1"/>
    </font>
    <font>
      <sz val="10"/>
      <color theme="4" tint="-0.249977111117893"/>
      <name val="Aptos Narrow"/>
      <family val="1"/>
      <scheme val="minor"/>
    </font>
    <font>
      <b/>
      <sz val="26"/>
      <color theme="4" tint="-0.249977111117893"/>
      <name val="Calibri"/>
      <family val="2"/>
    </font>
    <font>
      <b/>
      <sz val="24"/>
      <color theme="1"/>
      <name val="Amasis MT Pro Black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auto="1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</borders>
  <cellStyleXfs count="5">
    <xf numFmtId="0" fontId="0" fillId="0" borderId="0"/>
    <xf numFmtId="0" fontId="26" fillId="5" borderId="0">
      <alignment horizontal="center" vertical="center"/>
    </xf>
    <xf numFmtId="0" fontId="28" fillId="0" borderId="0">
      <alignment horizontal="right"/>
    </xf>
    <xf numFmtId="0" fontId="40" fillId="0" borderId="0" applyFill="0" applyBorder="0" applyAlignment="0" applyProtection="0"/>
    <xf numFmtId="0" fontId="42" fillId="0" borderId="0">
      <alignment horizontal="right" vertical="center"/>
    </xf>
  </cellStyleXfs>
  <cellXfs count="96">
    <xf numFmtId="0" fontId="0" fillId="0" borderId="0" xfId="0"/>
    <xf numFmtId="0" fontId="2" fillId="0" borderId="0" xfId="0" applyFont="1"/>
    <xf numFmtId="0" fontId="3" fillId="0" borderId="0" xfId="0" applyFont="1"/>
    <xf numFmtId="164" fontId="2" fillId="0" borderId="0" xfId="0" applyNumberFormat="1" applyFont="1"/>
    <xf numFmtId="0" fontId="4" fillId="0" borderId="0" xfId="0" applyFont="1"/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9" fillId="2" borderId="0" xfId="0" applyFont="1" applyFill="1"/>
    <xf numFmtId="0" fontId="10" fillId="2" borderId="0" xfId="0" applyFont="1" applyFill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49" fontId="19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vertical="center"/>
    </xf>
    <xf numFmtId="0" fontId="20" fillId="3" borderId="1" xfId="0" applyFont="1" applyFill="1" applyBorder="1" applyAlignment="1">
      <alignment horizontal="center" vertical="center"/>
    </xf>
    <xf numFmtId="0" fontId="21" fillId="0" borderId="0" xfId="0" applyFont="1"/>
    <xf numFmtId="0" fontId="2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top"/>
    </xf>
    <xf numFmtId="49" fontId="19" fillId="0" borderId="0" xfId="0" applyNumberFormat="1" applyFont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vertical="top"/>
    </xf>
    <xf numFmtId="0" fontId="16" fillId="0" borderId="0" xfId="0" applyFont="1" applyAlignment="1">
      <alignment vertical="top"/>
    </xf>
    <xf numFmtId="17" fontId="24" fillId="0" borderId="0" xfId="0" applyNumberFormat="1" applyFont="1" applyAlignment="1">
      <alignment horizontal="center" vertical="top"/>
    </xf>
    <xf numFmtId="17" fontId="25" fillId="0" borderId="0" xfId="0" applyNumberFormat="1" applyFont="1" applyAlignment="1">
      <alignment horizontal="center" vertical="top"/>
    </xf>
    <xf numFmtId="0" fontId="25" fillId="0" borderId="0" xfId="1" applyFont="1" applyFill="1" applyAlignment="1">
      <alignment vertical="top"/>
    </xf>
    <xf numFmtId="164" fontId="27" fillId="0" borderId="0" xfId="0" applyNumberFormat="1" applyFont="1" applyAlignment="1">
      <alignment vertical="top"/>
    </xf>
    <xf numFmtId="0" fontId="19" fillId="0" borderId="0" xfId="2" applyFont="1" applyAlignment="1">
      <alignment vertical="center" wrapText="1" shrinkToFit="1"/>
    </xf>
    <xf numFmtId="0" fontId="19" fillId="0" borderId="2" xfId="2" applyFont="1" applyBorder="1" applyAlignment="1">
      <alignment vertical="center" wrapText="1" shrinkToFit="1"/>
    </xf>
    <xf numFmtId="0" fontId="12" fillId="0" borderId="2" xfId="0" applyFont="1" applyBorder="1" applyAlignment="1">
      <alignment vertical="center"/>
    </xf>
    <xf numFmtId="164" fontId="29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0" fontId="16" fillId="0" borderId="3" xfId="0" applyFont="1" applyBorder="1"/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3" xfId="0" applyFont="1" applyBorder="1" applyAlignment="1">
      <alignment horizontal="left" vertical="center"/>
    </xf>
    <xf numFmtId="0" fontId="14" fillId="0" borderId="3" xfId="1" applyFont="1" applyFill="1" applyBorder="1" applyAlignment="1">
      <alignment horizontal="left" vertical="center"/>
    </xf>
    <xf numFmtId="164" fontId="27" fillId="0" borderId="0" xfId="0" applyNumberFormat="1" applyFont="1" applyAlignment="1">
      <alignment vertical="center"/>
    </xf>
    <xf numFmtId="165" fontId="20" fillId="3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top"/>
    </xf>
    <xf numFmtId="0" fontId="31" fillId="0" borderId="4" xfId="2" applyFont="1" applyBorder="1" applyAlignment="1" applyProtection="1">
      <alignment horizontal="center" vertical="center" shrinkToFit="1"/>
      <protection locked="0"/>
    </xf>
    <xf numFmtId="0" fontId="32" fillId="6" borderId="4" xfId="2" applyFont="1" applyFill="1" applyBorder="1" applyAlignment="1" applyProtection="1">
      <alignment horizontal="center" vertical="center"/>
      <protection locked="0"/>
    </xf>
    <xf numFmtId="0" fontId="33" fillId="6" borderId="4" xfId="2" applyFont="1" applyFill="1" applyBorder="1" applyAlignment="1" applyProtection="1">
      <alignment horizontal="center" vertical="center"/>
      <protection locked="0"/>
    </xf>
    <xf numFmtId="0" fontId="34" fillId="0" borderId="0" xfId="2" applyFont="1" applyAlignment="1">
      <alignment horizontal="left" vertical="top"/>
    </xf>
    <xf numFmtId="0" fontId="34" fillId="2" borderId="4" xfId="0" applyFont="1" applyFill="1" applyBorder="1" applyAlignment="1" applyProtection="1">
      <alignment vertical="top" wrapText="1"/>
      <protection locked="0"/>
    </xf>
    <xf numFmtId="0" fontId="34" fillId="2" borderId="4" xfId="0" applyFont="1" applyFill="1" applyBorder="1" applyAlignment="1">
      <alignment vertical="top" wrapText="1"/>
    </xf>
    <xf numFmtId="0" fontId="34" fillId="2" borderId="4" xfId="0" applyFont="1" applyFill="1" applyBorder="1" applyAlignment="1">
      <alignment horizontal="right" vertical="top"/>
    </xf>
    <xf numFmtId="164" fontId="3" fillId="0" borderId="0" xfId="0" applyNumberFormat="1" applyFont="1"/>
    <xf numFmtId="0" fontId="35" fillId="0" borderId="0" xfId="2" applyFont="1" applyAlignment="1" applyProtection="1">
      <alignment horizontal="center" vertical="center" shrinkToFit="1"/>
      <protection locked="0"/>
    </xf>
    <xf numFmtId="0" fontId="32" fillId="0" borderId="0" xfId="2" applyFont="1" applyAlignment="1" applyProtection="1">
      <alignment horizontal="right" vertical="center" shrinkToFit="1"/>
      <protection locked="0"/>
    </xf>
    <xf numFmtId="0" fontId="33" fillId="0" borderId="0" xfId="2" applyFont="1" applyAlignment="1" applyProtection="1">
      <alignment horizontal="right" vertical="center" shrinkToFit="1"/>
      <protection locked="0"/>
    </xf>
    <xf numFmtId="0" fontId="36" fillId="0" borderId="0" xfId="0" applyFont="1" applyAlignment="1">
      <alignment vertical="top"/>
    </xf>
    <xf numFmtId="0" fontId="36" fillId="2" borderId="0" xfId="0" applyFont="1" applyFill="1" applyAlignment="1">
      <alignment horizontal="center" vertical="center" wrapText="1" shrinkToFit="1"/>
    </xf>
    <xf numFmtId="0" fontId="1" fillId="0" borderId="0" xfId="0" applyFont="1"/>
    <xf numFmtId="0" fontId="37" fillId="0" borderId="0" xfId="2" applyFont="1" applyAlignment="1">
      <alignment horizontal="left"/>
    </xf>
    <xf numFmtId="0" fontId="37" fillId="0" borderId="2" xfId="2" applyFont="1" applyBorder="1" applyAlignment="1">
      <alignment horizontal="center" vertical="center"/>
    </xf>
    <xf numFmtId="0" fontId="38" fillId="0" borderId="2" xfId="0" applyFont="1" applyBorder="1" applyAlignment="1" applyProtection="1">
      <alignment horizontal="center"/>
      <protection locked="0"/>
    </xf>
    <xf numFmtId="0" fontId="39" fillId="0" borderId="2" xfId="2" applyFont="1" applyBorder="1">
      <alignment horizontal="right"/>
    </xf>
    <xf numFmtId="0" fontId="36" fillId="2" borderId="2" xfId="0" applyFont="1" applyFill="1" applyBorder="1" applyAlignment="1" applyProtection="1">
      <alignment horizontal="center" vertical="center" wrapText="1" shrinkToFit="1"/>
      <protection locked="0"/>
    </xf>
    <xf numFmtId="0" fontId="36" fillId="2" borderId="2" xfId="0" applyFont="1" applyFill="1" applyBorder="1" applyAlignment="1" applyProtection="1">
      <alignment horizontal="center" vertical="top" wrapText="1" shrinkToFit="1"/>
      <protection locked="0"/>
    </xf>
    <xf numFmtId="0" fontId="39" fillId="0" borderId="2" xfId="2" applyFont="1" applyBorder="1" applyAlignment="1">
      <alignment horizontal="center"/>
    </xf>
    <xf numFmtId="0" fontId="34" fillId="0" borderId="4" xfId="0" applyFont="1" applyBorder="1" applyAlignment="1">
      <alignment horizontal="left" vertical="center"/>
    </xf>
    <xf numFmtId="1" fontId="34" fillId="0" borderId="4" xfId="2" applyNumberFormat="1" applyFont="1" applyBorder="1" applyAlignment="1" applyProtection="1">
      <alignment horizontal="center" vertical="center"/>
      <protection locked="0"/>
    </xf>
    <xf numFmtId="0" fontId="34" fillId="0" borderId="0" xfId="2" applyFont="1" applyAlignment="1">
      <alignment horizontal="center" vertical="center"/>
    </xf>
    <xf numFmtId="0" fontId="30" fillId="2" borderId="0" xfId="0" applyFont="1" applyFill="1" applyAlignment="1">
      <alignment vertical="top"/>
    </xf>
    <xf numFmtId="0" fontId="41" fillId="0" borderId="4" xfId="3" applyFont="1" applyBorder="1" applyAlignment="1">
      <alignment horizontal="center" vertical="center"/>
    </xf>
    <xf numFmtId="0" fontId="35" fillId="0" borderId="4" xfId="3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top"/>
    </xf>
    <xf numFmtId="0" fontId="34" fillId="0" borderId="2" xfId="0" applyFont="1" applyBorder="1" applyAlignment="1">
      <alignment horizontal="left" vertical="center"/>
    </xf>
    <xf numFmtId="1" fontId="34" fillId="0" borderId="2" xfId="2" applyNumberFormat="1" applyFont="1" applyBorder="1" applyAlignment="1" applyProtection="1">
      <alignment horizontal="center" vertical="center"/>
      <protection locked="0"/>
    </xf>
    <xf numFmtId="0" fontId="34" fillId="0" borderId="2" xfId="2" applyFont="1" applyBorder="1" applyAlignment="1">
      <alignment horizontal="center" vertical="center"/>
    </xf>
    <xf numFmtId="0" fontId="2" fillId="0" borderId="2" xfId="0" applyFont="1" applyBorder="1"/>
    <xf numFmtId="0" fontId="41" fillId="0" borderId="2" xfId="3" applyFont="1" applyBorder="1" applyAlignment="1">
      <alignment horizontal="center" vertical="center"/>
    </xf>
    <xf numFmtId="0" fontId="35" fillId="0" borderId="2" xfId="3" applyFont="1" applyBorder="1" applyAlignment="1" applyProtection="1">
      <alignment horizontal="center" vertical="center"/>
    </xf>
    <xf numFmtId="49" fontId="34" fillId="0" borderId="4" xfId="4" applyNumberFormat="1" applyFont="1" applyBorder="1" applyAlignment="1">
      <alignment horizontal="left"/>
    </xf>
    <xf numFmtId="0" fontId="43" fillId="0" borderId="4" xfId="4" applyFont="1" applyBorder="1" applyAlignment="1">
      <alignment horizontal="center"/>
    </xf>
    <xf numFmtId="0" fontId="44" fillId="0" borderId="0" xfId="0" applyFont="1" applyAlignment="1">
      <alignment vertical="center"/>
    </xf>
    <xf numFmtId="0" fontId="45" fillId="0" borderId="4" xfId="4" applyFont="1" applyBorder="1" applyAlignment="1">
      <alignment vertical="center"/>
    </xf>
    <xf numFmtId="0" fontId="46" fillId="0" borderId="4" xfId="4" applyFont="1" applyBorder="1" applyAlignment="1">
      <alignment vertical="center"/>
    </xf>
    <xf numFmtId="0" fontId="2" fillId="0" borderId="4" xfId="0" applyFont="1" applyBorder="1" applyAlignment="1">
      <alignment horizontal="center"/>
    </xf>
    <xf numFmtId="164" fontId="2" fillId="0" borderId="0" xfId="0" applyNumberFormat="1" applyFont="1" applyAlignment="1">
      <alignment wrapText="1"/>
    </xf>
  </cellXfs>
  <cellStyles count="5">
    <cellStyle name="Explanatory Text 2" xfId="3" xr:uid="{632A062B-E1EB-4B7D-8F10-AC9758DFA27A}"/>
    <cellStyle name="Normal" xfId="0" builtinId="0"/>
    <cellStyle name="Normal 2" xfId="4" xr:uid="{599372DF-DCB2-4DA1-A64B-A1AE472699EB}"/>
    <cellStyle name="Normal 3" xfId="2" xr:uid="{69A95A43-6C1D-42C6-A650-21A3B948DAB3}"/>
    <cellStyle name="Normal 4" xfId="1" xr:uid="{CFB79B52-E941-44F9-AC3A-8A525EE2FD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ventory3!A1"/><Relationship Id="rId1" Type="http://schemas.openxmlformats.org/officeDocument/2006/relationships/hyperlink" Target="#HomePag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97932</xdr:colOff>
      <xdr:row>5</xdr:row>
      <xdr:rowOff>57292</xdr:rowOff>
    </xdr:from>
    <xdr:to>
      <xdr:col>7</xdr:col>
      <xdr:colOff>57292</xdr:colOff>
      <xdr:row>6</xdr:row>
      <xdr:rowOff>323428</xdr:rowOff>
    </xdr:to>
    <xdr:sp macro="" textlink="" fLocksText="0">
      <xdr:nvSpPr>
        <xdr:cNvPr id="2" name="CustTxt">
          <a:extLst>
            <a:ext uri="{FF2B5EF4-FFF2-40B4-BE49-F238E27FC236}">
              <a16:creationId xmlns:a16="http://schemas.microsoft.com/office/drawing/2014/main" id="{85E6B903-976C-4446-AF02-3F5480F4D9D6}"/>
            </a:ext>
          </a:extLst>
        </xdr:cNvPr>
        <xdr:cNvSpPr txBox="1">
          <a:spLocks noChangeAspect="1"/>
        </xdr:cNvSpPr>
      </xdr:nvSpPr>
      <xdr:spPr>
        <a:xfrm>
          <a:off x="3257057" y="993917"/>
          <a:ext cx="1223010" cy="316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400" b="1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90010</xdr:colOff>
      <xdr:row>6</xdr:row>
      <xdr:rowOff>327660</xdr:rowOff>
    </xdr:from>
    <xdr:to>
      <xdr:col>6</xdr:col>
      <xdr:colOff>107527</xdr:colOff>
      <xdr:row>7</xdr:row>
      <xdr:rowOff>265994</xdr:rowOff>
    </xdr:to>
    <xdr:sp macro="" textlink="" fLocksText="0">
      <xdr:nvSpPr>
        <xdr:cNvPr id="3" name="PoTxt">
          <a:extLst>
            <a:ext uri="{FF2B5EF4-FFF2-40B4-BE49-F238E27FC236}">
              <a16:creationId xmlns:a16="http://schemas.microsoft.com/office/drawing/2014/main" id="{BCAF6AC2-30D1-4E01-8D41-F0778F332F11}"/>
            </a:ext>
          </a:extLst>
        </xdr:cNvPr>
        <xdr:cNvSpPr txBox="1"/>
      </xdr:nvSpPr>
      <xdr:spPr>
        <a:xfrm>
          <a:off x="3249135" y="1311910"/>
          <a:ext cx="649342" cy="1859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endParaRPr kumimoji="0" lang="en-US" sz="1200" b="1" i="0" u="none" strike="noStrike" kern="0" cap="none" spc="0" normalizeH="0" baseline="0">
            <a:ln>
              <a:noFill/>
            </a:ln>
            <a:solidFill>
              <a:schemeClr val="tx1"/>
            </a:solidFill>
            <a:effectLst/>
            <a:uLnTx/>
            <a:uFillTx/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1016129</xdr:colOff>
      <xdr:row>10</xdr:row>
      <xdr:rowOff>4272</xdr:rowOff>
    </xdr:from>
    <xdr:to>
      <xdr:col>14</xdr:col>
      <xdr:colOff>42815</xdr:colOff>
      <xdr:row>10</xdr:row>
      <xdr:rowOff>266700</xdr:rowOff>
    </xdr:to>
    <xdr:sp macro="" textlink="" fLocksText="0">
      <xdr:nvSpPr>
        <xdr:cNvPr id="4" name="NeededByTxt">
          <a:extLst>
            <a:ext uri="{FF2B5EF4-FFF2-40B4-BE49-F238E27FC236}">
              <a16:creationId xmlns:a16="http://schemas.microsoft.com/office/drawing/2014/main" id="{19D6902A-A87C-4FAD-9831-BA4768D22F53}"/>
            </a:ext>
          </a:extLst>
        </xdr:cNvPr>
        <xdr:cNvSpPr txBox="1"/>
      </xdr:nvSpPr>
      <xdr:spPr>
        <a:xfrm>
          <a:off x="3159254" y="1877522"/>
          <a:ext cx="5729111" cy="1830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200" b="0">
            <a:solidFill>
              <a:srgbClr val="FF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756632</xdr:colOff>
      <xdr:row>8</xdr:row>
      <xdr:rowOff>1387</xdr:rowOff>
    </xdr:from>
    <xdr:to>
      <xdr:col>13</xdr:col>
      <xdr:colOff>790575</xdr:colOff>
      <xdr:row>9</xdr:row>
      <xdr:rowOff>28576</xdr:rowOff>
    </xdr:to>
    <xdr:sp macro="" textlink="" fLocksText="0">
      <xdr:nvSpPr>
        <xdr:cNvPr id="5" name="Parts1">
          <a:extLst>
            <a:ext uri="{FF2B5EF4-FFF2-40B4-BE49-F238E27FC236}">
              <a16:creationId xmlns:a16="http://schemas.microsoft.com/office/drawing/2014/main" id="{5FD97594-AB99-4D5E-8D3F-50C2E7E65A81}"/>
            </a:ext>
          </a:extLst>
        </xdr:cNvPr>
        <xdr:cNvSpPr txBox="1"/>
      </xdr:nvSpPr>
      <xdr:spPr>
        <a:xfrm>
          <a:off x="3791932" y="1499987"/>
          <a:ext cx="5053618" cy="2145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400" b="0" baseline="0">
            <a:solidFill>
              <a:srgbClr val="FF0000"/>
            </a:solidFill>
            <a:latin typeface="Congenial Black" panose="02000503040000020004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1009651</xdr:colOff>
      <xdr:row>0</xdr:row>
      <xdr:rowOff>169334</xdr:rowOff>
    </xdr:from>
    <xdr:to>
      <xdr:col>3</xdr:col>
      <xdr:colOff>744009</xdr:colOff>
      <xdr:row>1</xdr:row>
      <xdr:rowOff>28575</xdr:rowOff>
    </xdr:to>
    <xdr:sp macro="" textlink="">
      <xdr:nvSpPr>
        <xdr:cNvPr id="6" name="IntakeBack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CD2040-4C67-4EC4-B892-B0E9F99B59D5}"/>
            </a:ext>
          </a:extLst>
        </xdr:cNvPr>
        <xdr:cNvSpPr/>
      </xdr:nvSpPr>
      <xdr:spPr>
        <a:xfrm>
          <a:off x="1895476" y="169334"/>
          <a:ext cx="632883" cy="46566"/>
        </a:xfrm>
        <a:prstGeom prst="leftArrow">
          <a:avLst>
            <a:gd name="adj1" fmla="val 62195"/>
            <a:gd name="adj2" fmla="val 64634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masis MT Pro Black" panose="02040A04050005020304" pitchFamily="18" charset="0"/>
            </a:rPr>
            <a:t>Back</a:t>
          </a:r>
          <a:endParaRPr lang="en-US" sz="700">
            <a:latin typeface="Amasis MT Pro Black" panose="02040A04050005020304" pitchFamily="18" charset="0"/>
          </a:endParaRPr>
        </a:p>
      </xdr:txBody>
    </xdr:sp>
    <xdr:clientData fLocksWithSheet="0" fPrintsWithSheet="0"/>
  </xdr:twoCellAnchor>
  <xdr:twoCellAnchor>
    <xdr:from>
      <xdr:col>15</xdr:col>
      <xdr:colOff>339972</xdr:colOff>
      <xdr:row>0</xdr:row>
      <xdr:rowOff>317650</xdr:rowOff>
    </xdr:from>
    <xdr:to>
      <xdr:col>17</xdr:col>
      <xdr:colOff>907315</xdr:colOff>
      <xdr:row>6</xdr:row>
      <xdr:rowOff>2348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2398C49-A4DB-4987-9A29-7CBD8FC9BCB8}"/>
            </a:ext>
          </a:extLst>
        </xdr:cNvPr>
        <xdr:cNvGrpSpPr/>
      </xdr:nvGrpSpPr>
      <xdr:grpSpPr>
        <a:xfrm>
          <a:off x="9409889" y="317650"/>
          <a:ext cx="3086176" cy="1801365"/>
          <a:chOff x="11253808" y="1410758"/>
          <a:chExt cx="3093735" cy="1803784"/>
        </a:xfrm>
      </xdr:grpSpPr>
      <xdr:sp macro="" textlink="">
        <xdr:nvSpPr>
          <xdr:cNvPr id="8" name="Rectangle: Diagonal Corners Snipped 7">
            <a:extLst>
              <a:ext uri="{FF2B5EF4-FFF2-40B4-BE49-F238E27FC236}">
                <a16:creationId xmlns:a16="http://schemas.microsoft.com/office/drawing/2014/main" id="{C1E7A474-4560-13F5-6B92-F5A72F3C2CF4}"/>
              </a:ext>
            </a:extLst>
          </xdr:cNvPr>
          <xdr:cNvSpPr/>
        </xdr:nvSpPr>
        <xdr:spPr>
          <a:xfrm>
            <a:off x="11276622" y="1410758"/>
            <a:ext cx="3048592" cy="406229"/>
          </a:xfrm>
          <a:prstGeom prst="snip2Diag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CA" sz="2400" b="1">
                <a:latin typeface="Amasis MT Pro Black" panose="02040A04050005020304" pitchFamily="18" charset="0"/>
              </a:rPr>
              <a:t>Powder</a:t>
            </a:r>
            <a:r>
              <a:rPr lang="en-CA" sz="2400" b="1" baseline="0">
                <a:latin typeface="Amasis MT Pro Black" panose="02040A04050005020304" pitchFamily="18" charset="0"/>
              </a:rPr>
              <a:t> Info</a:t>
            </a:r>
            <a:endParaRPr lang="en-CA" sz="2400" b="1">
              <a:latin typeface="Amasis MT Pro Black" panose="02040A04050005020304" pitchFamily="18" charset="0"/>
            </a:endParaRPr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6B26FBB2-4D95-7FD8-C463-75AAD6E79730}"/>
              </a:ext>
            </a:extLst>
          </xdr:cNvPr>
          <xdr:cNvGrpSpPr/>
        </xdr:nvGrpSpPr>
        <xdr:grpSpPr>
          <a:xfrm>
            <a:off x="11253808" y="1891017"/>
            <a:ext cx="3093735" cy="1323525"/>
            <a:chOff x="9657055" y="1312839"/>
            <a:chExt cx="3049296" cy="1325518"/>
          </a:xfrm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</xdr:grpSpPr>
        <xdr:sp macro="" textlink="">
          <xdr:nvSpPr>
            <xdr:cNvPr id="10" name="Rectangle: Diagonal Corners Snipped 9">
              <a:extLst>
                <a:ext uri="{FF2B5EF4-FFF2-40B4-BE49-F238E27FC236}">
                  <a16:creationId xmlns:a16="http://schemas.microsoft.com/office/drawing/2014/main" id="{1A42B919-4591-CC78-A602-D72FDE6119E2}"/>
                </a:ext>
              </a:extLst>
            </xdr:cNvPr>
            <xdr:cNvSpPr/>
          </xdr:nvSpPr>
          <xdr:spPr>
            <a:xfrm>
              <a:off x="9657055" y="1323725"/>
              <a:ext cx="1371600" cy="271704"/>
            </a:xfrm>
            <a:prstGeom prst="snip2DiagRect">
              <a:avLst/>
            </a:prstGeom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CA" sz="1200" b="1">
                  <a:solidFill>
                    <a:schemeClr val="bg2">
                      <a:lumMod val="90000"/>
                    </a:schemeClr>
                  </a:solidFill>
                  <a:latin typeface="Amasis MT Pro Black" panose="02040A04050005020304" pitchFamily="18" charset="0"/>
                  <a:ea typeface="ADLaM Display" panose="02010000000000000000" pitchFamily="2" charset="0"/>
                  <a:cs typeface="ADLaM Display" panose="02010000000000000000" pitchFamily="2" charset="0"/>
                </a:rPr>
                <a:t>Manufacturer</a:t>
              </a:r>
            </a:p>
          </xdr:txBody>
        </xdr:sp>
        <xdr:sp macro="" textlink="">
          <xdr:nvSpPr>
            <xdr:cNvPr id="11" name="Rectangle: Diagonal Corners Snipped 10">
              <a:extLst>
                <a:ext uri="{FF2B5EF4-FFF2-40B4-BE49-F238E27FC236}">
                  <a16:creationId xmlns:a16="http://schemas.microsoft.com/office/drawing/2014/main" id="{E62AEE4A-92C8-B296-55B5-35B540E6CEDD}"/>
                </a:ext>
              </a:extLst>
            </xdr:cNvPr>
            <xdr:cNvSpPr/>
          </xdr:nvSpPr>
          <xdr:spPr>
            <a:xfrm>
              <a:off x="11334751" y="1312839"/>
              <a:ext cx="1371600" cy="274320"/>
            </a:xfrm>
            <a:prstGeom prst="snip2DiagRect">
              <a:avLst/>
            </a:prstGeom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CA" sz="1200" b="1">
                  <a:solidFill>
                    <a:schemeClr val="bg2">
                      <a:lumMod val="90000"/>
                    </a:schemeClr>
                  </a:solidFill>
                  <a:latin typeface="Amasis MT Pro Black" panose="02040A04050005020304" pitchFamily="18" charset="0"/>
                  <a:ea typeface="ADLaM Display" panose="02010000000000000000" pitchFamily="2" charset="0"/>
                  <a:cs typeface="ADLaM Display" panose="02010000000000000000" pitchFamily="2" charset="0"/>
                </a:rPr>
                <a:t>Code</a:t>
              </a:r>
            </a:p>
          </xdr:txBody>
        </xdr:sp>
        <xdr:sp macro="" textlink="">
          <xdr:nvSpPr>
            <xdr:cNvPr id="12" name="Rectangle: Diagonal Corners Snipped 11">
              <a:extLst>
                <a:ext uri="{FF2B5EF4-FFF2-40B4-BE49-F238E27FC236}">
                  <a16:creationId xmlns:a16="http://schemas.microsoft.com/office/drawing/2014/main" id="{4AD8C5CF-C4FD-B733-B1DD-510671E4E072}"/>
                </a:ext>
              </a:extLst>
            </xdr:cNvPr>
            <xdr:cNvSpPr/>
          </xdr:nvSpPr>
          <xdr:spPr>
            <a:xfrm>
              <a:off x="9657055" y="2014021"/>
              <a:ext cx="1371600" cy="277881"/>
            </a:xfrm>
            <a:prstGeom prst="snip2DiagRect">
              <a:avLst/>
            </a:prstGeom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CA" sz="1200" b="1">
                  <a:solidFill>
                    <a:schemeClr val="bg2">
                      <a:lumMod val="90000"/>
                    </a:schemeClr>
                  </a:solidFill>
                  <a:latin typeface="Amasis MT Pro Black" panose="02040A04050005020304" pitchFamily="18" charset="0"/>
                  <a:ea typeface="ADLaM Display" panose="02010000000000000000" pitchFamily="2" charset="0"/>
                  <a:cs typeface="ADLaM Display" panose="02010000000000000000" pitchFamily="2" charset="0"/>
                </a:rPr>
                <a:t>Lb</a:t>
              </a:r>
              <a:r>
                <a:rPr lang="en-CA" sz="1200" b="1" baseline="0">
                  <a:solidFill>
                    <a:schemeClr val="bg2">
                      <a:lumMod val="90000"/>
                    </a:schemeClr>
                  </a:solidFill>
                  <a:latin typeface="Amasis MT Pro Black" panose="02040A04050005020304" pitchFamily="18" charset="0"/>
                  <a:ea typeface="ADLaM Display" panose="02010000000000000000" pitchFamily="2" charset="0"/>
                  <a:cs typeface="ADLaM Display" panose="02010000000000000000" pitchFamily="2" charset="0"/>
                </a:rPr>
                <a:t> In Stock</a:t>
              </a:r>
              <a:endParaRPr lang="en-CA" sz="1200" b="1">
                <a:solidFill>
                  <a:schemeClr val="bg2">
                    <a:lumMod val="90000"/>
                  </a:schemeClr>
                </a:solidFill>
                <a:latin typeface="Amasis MT Pro Black" panose="02040A04050005020304" pitchFamily="18" charset="0"/>
                <a:ea typeface="ADLaM Display" panose="02010000000000000000" pitchFamily="2" charset="0"/>
                <a:cs typeface="ADLaM Display" panose="02010000000000000000" pitchFamily="2" charset="0"/>
              </a:endParaRPr>
            </a:p>
          </xdr:txBody>
        </xdr:sp>
        <xdr:sp macro="" textlink="">
          <xdr:nvSpPr>
            <xdr:cNvPr id="13" name="Rectangle: Diagonal Corners Snipped 12">
              <a:extLst>
                <a:ext uri="{FF2B5EF4-FFF2-40B4-BE49-F238E27FC236}">
                  <a16:creationId xmlns:a16="http://schemas.microsoft.com/office/drawing/2014/main" id="{A29C07AC-6547-B5D8-CDC7-E93B4C084A1C}"/>
                </a:ext>
              </a:extLst>
            </xdr:cNvPr>
            <xdr:cNvSpPr/>
          </xdr:nvSpPr>
          <xdr:spPr>
            <a:xfrm>
              <a:off x="11334751" y="2013637"/>
              <a:ext cx="1371600" cy="274320"/>
            </a:xfrm>
            <a:prstGeom prst="snip2DiagRect">
              <a:avLst/>
            </a:prstGeom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CA" sz="1200" b="1">
                  <a:solidFill>
                    <a:schemeClr val="bg2">
                      <a:lumMod val="90000"/>
                    </a:schemeClr>
                  </a:solidFill>
                  <a:latin typeface="Amasis MT Pro Black" panose="02040A04050005020304" pitchFamily="18" charset="0"/>
                  <a:ea typeface="ADLaM Display" panose="02010000000000000000" pitchFamily="2" charset="0"/>
                  <a:cs typeface="ADLaM Display" panose="02010000000000000000" pitchFamily="2" charset="0"/>
                </a:rPr>
                <a:t>Last Checked</a:t>
              </a:r>
            </a:p>
          </xdr:txBody>
        </xdr:sp>
        <xdr:sp macro="" textlink="$A$14">
          <xdr:nvSpPr>
            <xdr:cNvPr id="14" name="TextBox 13">
              <a:extLst>
                <a:ext uri="{FF2B5EF4-FFF2-40B4-BE49-F238E27FC236}">
                  <a16:creationId xmlns:a16="http://schemas.microsoft.com/office/drawing/2014/main" id="{C5B5AE24-E91D-550E-ABD1-CED64A4DA5D2}"/>
                </a:ext>
              </a:extLst>
            </xdr:cNvPr>
            <xdr:cNvSpPr txBox="1"/>
          </xdr:nvSpPr>
          <xdr:spPr>
            <a:xfrm>
              <a:off x="9657055" y="1667565"/>
              <a:ext cx="1371600" cy="274320"/>
            </a:xfrm>
            <a:prstGeom prst="rect">
              <a:avLst/>
            </a:prstGeom>
            <a:solidFill>
              <a:schemeClr val="bg2">
                <a:lumMod val="9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D460C87-4EBC-464D-B324-1134120EAC6E}" type="TxLink">
                <a:rPr lang="en-US" sz="900" b="1" i="0" u="none" strike="noStrike">
                  <a:solidFill>
                    <a:schemeClr val="tx1"/>
                  </a:solidFill>
                  <a:latin typeface="Amasis MT Pro Black" panose="02040A04050005020304" pitchFamily="18" charset="0"/>
                  <a:ea typeface="ADLaM Display"/>
                  <a:cs typeface="ADLaM Display"/>
                </a:rPr>
                <a:pPr algn="ctr"/>
                <a:t>Tiger Drylac</a:t>
              </a:fld>
              <a:endParaRPr lang="en-US" sz="1100">
                <a:solidFill>
                  <a:schemeClr val="tx1"/>
                </a:solidFill>
                <a:latin typeface="Amasis MT Pro Black" panose="02040A04050005020304" pitchFamily="18" charset="0"/>
              </a:endParaRPr>
            </a:p>
          </xdr:txBody>
        </xdr:sp>
        <xdr:sp macro="" textlink="$A$7">
          <xdr:nvSpPr>
            <xdr:cNvPr id="15" name="TextBox 14">
              <a:extLst>
                <a:ext uri="{FF2B5EF4-FFF2-40B4-BE49-F238E27FC236}">
                  <a16:creationId xmlns:a16="http://schemas.microsoft.com/office/drawing/2014/main" id="{EF052DD0-930D-E3DC-55AD-BB049BC2C548}"/>
                </a:ext>
              </a:extLst>
            </xdr:cNvPr>
            <xdr:cNvSpPr txBox="1"/>
          </xdr:nvSpPr>
          <xdr:spPr>
            <a:xfrm>
              <a:off x="11334751" y="1663238"/>
              <a:ext cx="1371600" cy="274320"/>
            </a:xfrm>
            <a:prstGeom prst="rect">
              <a:avLst/>
            </a:prstGeom>
            <a:solidFill>
              <a:schemeClr val="bg2">
                <a:lumMod val="9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D700026-C357-46DD-BC3A-14E9281038D0}" type="TxLink">
                <a:rPr lang="en-US" sz="1100" b="1" i="0" u="none" strike="noStrike">
                  <a:solidFill>
                    <a:schemeClr val="tx1"/>
                  </a:solidFill>
                  <a:latin typeface="Amasis MT Pro Black" panose="02040A04050005020304" pitchFamily="18" charset="0"/>
                  <a:ea typeface="ADLaM Display"/>
                  <a:cs typeface="ADLaM Display"/>
                </a:rPr>
                <a:pPr algn="ctr"/>
                <a:t>044/80060</a:t>
              </a:fld>
              <a:endParaRPr lang="en-US" sz="1400">
                <a:solidFill>
                  <a:schemeClr val="tx1"/>
                </a:solidFill>
                <a:latin typeface="Amasis MT Pro Black" panose="02040A04050005020304" pitchFamily="18" charset="0"/>
              </a:endParaRPr>
            </a:p>
          </xdr:txBody>
        </xdr:sp>
        <xdr:sp macro="" textlink="$A$16">
          <xdr:nvSpPr>
            <xdr:cNvPr id="16" name="TextBox 15">
              <a:extLst>
                <a:ext uri="{FF2B5EF4-FFF2-40B4-BE49-F238E27FC236}">
                  <a16:creationId xmlns:a16="http://schemas.microsoft.com/office/drawing/2014/main" id="{E2477847-246E-1937-3AC7-61BE65B9C058}"/>
                </a:ext>
              </a:extLst>
            </xdr:cNvPr>
            <xdr:cNvSpPr txBox="1"/>
          </xdr:nvSpPr>
          <xdr:spPr>
            <a:xfrm>
              <a:off x="9682465" y="2364037"/>
              <a:ext cx="1371600" cy="274320"/>
            </a:xfrm>
            <a:prstGeom prst="rect">
              <a:avLst/>
            </a:prstGeom>
            <a:solidFill>
              <a:schemeClr val="bg2">
                <a:lumMod val="9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9C646A0-9E0A-48A6-B6FA-34D4E7D1C3BC}" type="TxLink">
                <a:rPr lang="en-US" sz="1100" b="1" i="0" u="none" strike="noStrike">
                  <a:solidFill>
                    <a:schemeClr val="tx1"/>
                  </a:solidFill>
                  <a:latin typeface="Amasis MT Pro Black" panose="02040A04050005020304" pitchFamily="18" charset="0"/>
                  <a:ea typeface="ADLaM Display"/>
                  <a:cs typeface="ADLaM Display"/>
                </a:rPr>
                <a:pPr algn="ctr"/>
                <a:t>25</a:t>
              </a:fld>
              <a:endParaRPr lang="en-US" sz="1400">
                <a:solidFill>
                  <a:schemeClr val="tx1"/>
                </a:solidFill>
                <a:latin typeface="Amasis MT Pro Black" panose="02040A04050005020304" pitchFamily="18" charset="0"/>
              </a:endParaRPr>
            </a:p>
          </xdr:txBody>
        </xdr:sp>
        <xdr:sp macro="" textlink="$A$9">
          <xdr:nvSpPr>
            <xdr:cNvPr id="17" name="TextBox 16">
              <a:extLst>
                <a:ext uri="{FF2B5EF4-FFF2-40B4-BE49-F238E27FC236}">
                  <a16:creationId xmlns:a16="http://schemas.microsoft.com/office/drawing/2014/main" id="{FAB0A250-5DD3-CB2F-1540-67D6B8D1D936}"/>
                </a:ext>
              </a:extLst>
            </xdr:cNvPr>
            <xdr:cNvSpPr txBox="1"/>
          </xdr:nvSpPr>
          <xdr:spPr>
            <a:xfrm>
              <a:off x="11334751" y="2369722"/>
              <a:ext cx="1371600" cy="262951"/>
            </a:xfrm>
            <a:prstGeom prst="rect">
              <a:avLst/>
            </a:prstGeom>
            <a:solidFill>
              <a:schemeClr val="bg2">
                <a:lumMod val="90000"/>
              </a:schemeClr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fld id="{16928373-918B-4D40-88EB-6D2734BA505C}" type="TxLink">
                <a:rPr lang="en-US" sz="1100" b="1" i="0" u="none" strike="noStrike">
                  <a:solidFill>
                    <a:schemeClr val="tx1"/>
                  </a:solidFill>
                  <a:latin typeface="Amasis MT Pro Black" panose="02040A04050005020304" pitchFamily="18" charset="0"/>
                  <a:ea typeface="ADLaM Display"/>
                  <a:cs typeface="ADLaM Display"/>
                </a:rPr>
                <a:pPr algn="ctr"/>
                <a:t>05-Jul-24</a:t>
              </a:fld>
              <a:endParaRPr lang="en-US" sz="1800">
                <a:solidFill>
                  <a:schemeClr val="tx1"/>
                </a:solidFill>
                <a:latin typeface="Amasis MT Pro Black" panose="02040A04050005020304" pitchFamily="18" charset="0"/>
              </a:endParaRPr>
            </a:p>
          </xdr:txBody>
        </xdr:sp>
      </xdr:grpSp>
    </xdr:grpSp>
    <xdr:clientData fPrintsWithSheet="0"/>
  </xdr:twoCellAnchor>
  <xdr:twoCellAnchor>
    <xdr:from>
      <xdr:col>3</xdr:col>
      <xdr:colOff>905933</xdr:colOff>
      <xdr:row>15</xdr:row>
      <xdr:rowOff>20794</xdr:rowOff>
    </xdr:from>
    <xdr:to>
      <xdr:col>14</xdr:col>
      <xdr:colOff>33866</xdr:colOff>
      <xdr:row>16</xdr:row>
      <xdr:rowOff>127000</xdr:rowOff>
    </xdr:to>
    <xdr:sp macro="" textlink="" fLocksText="0">
      <xdr:nvSpPr>
        <xdr:cNvPr id="18" name="ExTxt4">
          <a:extLst>
            <a:ext uri="{FF2B5EF4-FFF2-40B4-BE49-F238E27FC236}">
              <a16:creationId xmlns:a16="http://schemas.microsoft.com/office/drawing/2014/main" id="{35CFB491-A6B4-424E-AD23-5EAACC4E297E}"/>
            </a:ext>
          </a:extLst>
        </xdr:cNvPr>
        <xdr:cNvSpPr txBox="1"/>
      </xdr:nvSpPr>
      <xdr:spPr>
        <a:xfrm>
          <a:off x="2528358" y="2830669"/>
          <a:ext cx="6351058" cy="293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1200" b="1" u="none">
            <a:solidFill>
              <a:srgbClr val="FF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914882</xdr:colOff>
      <xdr:row>16</xdr:row>
      <xdr:rowOff>149231</xdr:rowOff>
    </xdr:from>
    <xdr:to>
      <xdr:col>14</xdr:col>
      <xdr:colOff>42815</xdr:colOff>
      <xdr:row>20</xdr:row>
      <xdr:rowOff>222044</xdr:rowOff>
    </xdr:to>
    <xdr:sp macro="" textlink="" fLocksText="0">
      <xdr:nvSpPr>
        <xdr:cNvPr id="19" name="ExTxt5">
          <a:extLst>
            <a:ext uri="{FF2B5EF4-FFF2-40B4-BE49-F238E27FC236}">
              <a16:creationId xmlns:a16="http://schemas.microsoft.com/office/drawing/2014/main" id="{77192E1C-5A7B-45F4-8E76-93BEA9F50BC6}"/>
            </a:ext>
          </a:extLst>
        </xdr:cNvPr>
        <xdr:cNvSpPr txBox="1"/>
      </xdr:nvSpPr>
      <xdr:spPr>
        <a:xfrm>
          <a:off x="2527782" y="3146431"/>
          <a:ext cx="6360583" cy="787188"/>
        </a:xfrm>
        <a:prstGeom prst="rect">
          <a:avLst/>
        </a:prstGeom>
        <a:noFill/>
        <a:ln w="9525" cmpd="sng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4396740"/>
                    <a:gd name="connsiteY0" fmla="*/ 0 h 1767840"/>
                    <a:gd name="connsiteX1" fmla="*/ 637527 w 4396740"/>
                    <a:gd name="connsiteY1" fmla="*/ 0 h 1767840"/>
                    <a:gd name="connsiteX2" fmla="*/ 1231087 w 4396740"/>
                    <a:gd name="connsiteY2" fmla="*/ 0 h 1767840"/>
                    <a:gd name="connsiteX3" fmla="*/ 1780680 w 4396740"/>
                    <a:gd name="connsiteY3" fmla="*/ 0 h 1767840"/>
                    <a:gd name="connsiteX4" fmla="*/ 2330272 w 4396740"/>
                    <a:gd name="connsiteY4" fmla="*/ 0 h 1767840"/>
                    <a:gd name="connsiteX5" fmla="*/ 2967800 w 4396740"/>
                    <a:gd name="connsiteY5" fmla="*/ 0 h 1767840"/>
                    <a:gd name="connsiteX6" fmla="*/ 3561359 w 4396740"/>
                    <a:gd name="connsiteY6" fmla="*/ 0 h 1767840"/>
                    <a:gd name="connsiteX7" fmla="*/ 4396740 w 4396740"/>
                    <a:gd name="connsiteY7" fmla="*/ 0 h 1767840"/>
                    <a:gd name="connsiteX8" fmla="*/ 4396740 w 4396740"/>
                    <a:gd name="connsiteY8" fmla="*/ 571602 h 1767840"/>
                    <a:gd name="connsiteX9" fmla="*/ 4396740 w 4396740"/>
                    <a:gd name="connsiteY9" fmla="*/ 1107846 h 1767840"/>
                    <a:gd name="connsiteX10" fmla="*/ 4396740 w 4396740"/>
                    <a:gd name="connsiteY10" fmla="*/ 1767840 h 1767840"/>
                    <a:gd name="connsiteX11" fmla="*/ 3935082 w 4396740"/>
                    <a:gd name="connsiteY11" fmla="*/ 1767840 h 1767840"/>
                    <a:gd name="connsiteX12" fmla="*/ 3297555 w 4396740"/>
                    <a:gd name="connsiteY12" fmla="*/ 1767840 h 1767840"/>
                    <a:gd name="connsiteX13" fmla="*/ 2791930 w 4396740"/>
                    <a:gd name="connsiteY13" fmla="*/ 1767840 h 1767840"/>
                    <a:gd name="connsiteX14" fmla="*/ 2154403 w 4396740"/>
                    <a:gd name="connsiteY14" fmla="*/ 1767840 h 1767840"/>
                    <a:gd name="connsiteX15" fmla="*/ 1692745 w 4396740"/>
                    <a:gd name="connsiteY15" fmla="*/ 1767840 h 1767840"/>
                    <a:gd name="connsiteX16" fmla="*/ 1275055 w 4396740"/>
                    <a:gd name="connsiteY16" fmla="*/ 1767840 h 1767840"/>
                    <a:gd name="connsiteX17" fmla="*/ 857364 w 4396740"/>
                    <a:gd name="connsiteY17" fmla="*/ 1767840 h 1767840"/>
                    <a:gd name="connsiteX18" fmla="*/ 0 w 4396740"/>
                    <a:gd name="connsiteY18" fmla="*/ 1767840 h 1767840"/>
                    <a:gd name="connsiteX19" fmla="*/ 0 w 4396740"/>
                    <a:gd name="connsiteY19" fmla="*/ 1231595 h 1767840"/>
                    <a:gd name="connsiteX20" fmla="*/ 0 w 4396740"/>
                    <a:gd name="connsiteY20" fmla="*/ 606958 h 1767840"/>
                    <a:gd name="connsiteX21" fmla="*/ 0 w 4396740"/>
                    <a:gd name="connsiteY21" fmla="*/ 0 h 176784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</a:cxnLst>
                  <a:rect l="l" t="t" r="r" b="b"/>
                  <a:pathLst>
                    <a:path w="4396740" h="1767840" fill="none" extrusionOk="0">
                      <a:moveTo>
                        <a:pt x="0" y="0"/>
                      </a:moveTo>
                      <a:cubicBezTo>
                        <a:pt x="166431" y="-70370"/>
                        <a:pt x="431173" y="17505"/>
                        <a:pt x="637527" y="0"/>
                      </a:cubicBezTo>
                      <a:cubicBezTo>
                        <a:pt x="843881" y="-17505"/>
                        <a:pt x="994718" y="55462"/>
                        <a:pt x="1231087" y="0"/>
                      </a:cubicBezTo>
                      <a:cubicBezTo>
                        <a:pt x="1467456" y="-55462"/>
                        <a:pt x="1510586" y="19090"/>
                        <a:pt x="1780680" y="0"/>
                      </a:cubicBezTo>
                      <a:cubicBezTo>
                        <a:pt x="2050774" y="-19090"/>
                        <a:pt x="2140469" y="22430"/>
                        <a:pt x="2330272" y="0"/>
                      </a:cubicBezTo>
                      <a:cubicBezTo>
                        <a:pt x="2520075" y="-22430"/>
                        <a:pt x="2791551" y="37766"/>
                        <a:pt x="2967800" y="0"/>
                      </a:cubicBezTo>
                      <a:cubicBezTo>
                        <a:pt x="3144049" y="-37766"/>
                        <a:pt x="3390533" y="10436"/>
                        <a:pt x="3561359" y="0"/>
                      </a:cubicBezTo>
                      <a:cubicBezTo>
                        <a:pt x="3732185" y="-10436"/>
                        <a:pt x="4145384" y="60758"/>
                        <a:pt x="4396740" y="0"/>
                      </a:cubicBezTo>
                      <a:cubicBezTo>
                        <a:pt x="4442080" y="193757"/>
                        <a:pt x="4384239" y="453590"/>
                        <a:pt x="4396740" y="571602"/>
                      </a:cubicBezTo>
                      <a:cubicBezTo>
                        <a:pt x="4409241" y="689614"/>
                        <a:pt x="4373657" y="980144"/>
                        <a:pt x="4396740" y="1107846"/>
                      </a:cubicBezTo>
                      <a:cubicBezTo>
                        <a:pt x="4419823" y="1235548"/>
                        <a:pt x="4368788" y="1510768"/>
                        <a:pt x="4396740" y="1767840"/>
                      </a:cubicBezTo>
                      <a:cubicBezTo>
                        <a:pt x="4272799" y="1778797"/>
                        <a:pt x="4144421" y="1764711"/>
                        <a:pt x="3935082" y="1767840"/>
                      </a:cubicBezTo>
                      <a:cubicBezTo>
                        <a:pt x="3725743" y="1770969"/>
                        <a:pt x="3593041" y="1760374"/>
                        <a:pt x="3297555" y="1767840"/>
                      </a:cubicBezTo>
                      <a:cubicBezTo>
                        <a:pt x="3002069" y="1775306"/>
                        <a:pt x="2930118" y="1753364"/>
                        <a:pt x="2791930" y="1767840"/>
                      </a:cubicBezTo>
                      <a:cubicBezTo>
                        <a:pt x="2653742" y="1782316"/>
                        <a:pt x="2291765" y="1709126"/>
                        <a:pt x="2154403" y="1767840"/>
                      </a:cubicBezTo>
                      <a:cubicBezTo>
                        <a:pt x="2017041" y="1826554"/>
                        <a:pt x="1908047" y="1735313"/>
                        <a:pt x="1692745" y="1767840"/>
                      </a:cubicBezTo>
                      <a:cubicBezTo>
                        <a:pt x="1477443" y="1800367"/>
                        <a:pt x="1455221" y="1724047"/>
                        <a:pt x="1275055" y="1767840"/>
                      </a:cubicBezTo>
                      <a:cubicBezTo>
                        <a:pt x="1094889" y="1811633"/>
                        <a:pt x="1039810" y="1766814"/>
                        <a:pt x="857364" y="1767840"/>
                      </a:cubicBezTo>
                      <a:cubicBezTo>
                        <a:pt x="674918" y="1768866"/>
                        <a:pt x="327468" y="1665574"/>
                        <a:pt x="0" y="1767840"/>
                      </a:cubicBezTo>
                      <a:cubicBezTo>
                        <a:pt x="-56650" y="1648635"/>
                        <a:pt x="43694" y="1454079"/>
                        <a:pt x="0" y="1231595"/>
                      </a:cubicBezTo>
                      <a:cubicBezTo>
                        <a:pt x="-43694" y="1009111"/>
                        <a:pt x="27818" y="883842"/>
                        <a:pt x="0" y="606958"/>
                      </a:cubicBezTo>
                      <a:cubicBezTo>
                        <a:pt x="-27818" y="330074"/>
                        <a:pt x="7972" y="122168"/>
                        <a:pt x="0" y="0"/>
                      </a:cubicBezTo>
                      <a:close/>
                    </a:path>
                    <a:path w="4396740" h="1767840" stroke="0" extrusionOk="0">
                      <a:moveTo>
                        <a:pt x="0" y="0"/>
                      </a:moveTo>
                      <a:cubicBezTo>
                        <a:pt x="211858" y="-23263"/>
                        <a:pt x="385907" y="25232"/>
                        <a:pt x="505625" y="0"/>
                      </a:cubicBezTo>
                      <a:cubicBezTo>
                        <a:pt x="625344" y="-25232"/>
                        <a:pt x="835769" y="45351"/>
                        <a:pt x="923315" y="0"/>
                      </a:cubicBezTo>
                      <a:cubicBezTo>
                        <a:pt x="1010861" y="-45351"/>
                        <a:pt x="1308501" y="47318"/>
                        <a:pt x="1560843" y="0"/>
                      </a:cubicBezTo>
                      <a:cubicBezTo>
                        <a:pt x="1813185" y="-47318"/>
                        <a:pt x="1916693" y="11013"/>
                        <a:pt x="2066468" y="0"/>
                      </a:cubicBezTo>
                      <a:cubicBezTo>
                        <a:pt x="2216244" y="-11013"/>
                        <a:pt x="2378130" y="54343"/>
                        <a:pt x="2572093" y="0"/>
                      </a:cubicBezTo>
                      <a:cubicBezTo>
                        <a:pt x="2766056" y="-54343"/>
                        <a:pt x="3035924" y="5706"/>
                        <a:pt x="3209620" y="0"/>
                      </a:cubicBezTo>
                      <a:cubicBezTo>
                        <a:pt x="3383316" y="-5706"/>
                        <a:pt x="3552168" y="51757"/>
                        <a:pt x="3671278" y="0"/>
                      </a:cubicBezTo>
                      <a:cubicBezTo>
                        <a:pt x="3790388" y="-51757"/>
                        <a:pt x="4089067" y="18503"/>
                        <a:pt x="4396740" y="0"/>
                      </a:cubicBezTo>
                      <a:cubicBezTo>
                        <a:pt x="4400064" y="177930"/>
                        <a:pt x="4346750" y="495867"/>
                        <a:pt x="4396740" y="624637"/>
                      </a:cubicBezTo>
                      <a:cubicBezTo>
                        <a:pt x="4446730" y="753407"/>
                        <a:pt x="4392633" y="1054450"/>
                        <a:pt x="4396740" y="1178560"/>
                      </a:cubicBezTo>
                      <a:cubicBezTo>
                        <a:pt x="4400847" y="1302670"/>
                        <a:pt x="4367731" y="1563708"/>
                        <a:pt x="4396740" y="1767840"/>
                      </a:cubicBezTo>
                      <a:cubicBezTo>
                        <a:pt x="4179121" y="1820256"/>
                        <a:pt x="3984642" y="1757083"/>
                        <a:pt x="3803180" y="1767840"/>
                      </a:cubicBezTo>
                      <a:cubicBezTo>
                        <a:pt x="3621718" y="1778597"/>
                        <a:pt x="3440469" y="1710676"/>
                        <a:pt x="3165653" y="1767840"/>
                      </a:cubicBezTo>
                      <a:cubicBezTo>
                        <a:pt x="2890837" y="1825004"/>
                        <a:pt x="2656975" y="1725272"/>
                        <a:pt x="2528126" y="1767840"/>
                      </a:cubicBezTo>
                      <a:cubicBezTo>
                        <a:pt x="2399277" y="1810408"/>
                        <a:pt x="2251052" y="1758563"/>
                        <a:pt x="2066468" y="1767840"/>
                      </a:cubicBezTo>
                      <a:cubicBezTo>
                        <a:pt x="1881884" y="1777117"/>
                        <a:pt x="1785273" y="1722595"/>
                        <a:pt x="1516875" y="1767840"/>
                      </a:cubicBezTo>
                      <a:cubicBezTo>
                        <a:pt x="1248477" y="1813085"/>
                        <a:pt x="1013410" y="1703179"/>
                        <a:pt x="879348" y="1767840"/>
                      </a:cubicBezTo>
                      <a:cubicBezTo>
                        <a:pt x="745286" y="1832501"/>
                        <a:pt x="375529" y="1674877"/>
                        <a:pt x="0" y="1767840"/>
                      </a:cubicBezTo>
                      <a:cubicBezTo>
                        <a:pt x="-17068" y="1538383"/>
                        <a:pt x="32091" y="1431631"/>
                        <a:pt x="0" y="1231595"/>
                      </a:cubicBezTo>
                      <a:cubicBezTo>
                        <a:pt x="-32091" y="1031559"/>
                        <a:pt x="10269" y="856128"/>
                        <a:pt x="0" y="677672"/>
                      </a:cubicBezTo>
                      <a:cubicBezTo>
                        <a:pt x="-10269" y="499216"/>
                        <a:pt x="74299" y="163267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200" b="1" u="sng">
            <a:solidFill>
              <a:srgbClr val="FF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914882</xdr:colOff>
      <xdr:row>13</xdr:row>
      <xdr:rowOff>226022</xdr:rowOff>
    </xdr:from>
    <xdr:to>
      <xdr:col>14</xdr:col>
      <xdr:colOff>42815</xdr:colOff>
      <xdr:row>14</xdr:row>
      <xdr:rowOff>286982</xdr:rowOff>
    </xdr:to>
    <xdr:sp macro="" textlink="" fLocksText="0">
      <xdr:nvSpPr>
        <xdr:cNvPr id="20" name="ExTxt3">
          <a:extLst>
            <a:ext uri="{FF2B5EF4-FFF2-40B4-BE49-F238E27FC236}">
              <a16:creationId xmlns:a16="http://schemas.microsoft.com/office/drawing/2014/main" id="{59E12F02-BF4C-48C6-9EAB-6CC2BA1B7419}"/>
            </a:ext>
          </a:extLst>
        </xdr:cNvPr>
        <xdr:cNvSpPr txBox="1"/>
      </xdr:nvSpPr>
      <xdr:spPr>
        <a:xfrm>
          <a:off x="2527782" y="2623147"/>
          <a:ext cx="6360583" cy="187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200" b="1" u="none">
            <a:solidFill>
              <a:srgbClr val="FF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914882</xdr:colOff>
      <xdr:row>12</xdr:row>
      <xdr:rowOff>103550</xdr:rowOff>
    </xdr:from>
    <xdr:to>
      <xdr:col>14</xdr:col>
      <xdr:colOff>42815</xdr:colOff>
      <xdr:row>13</xdr:row>
      <xdr:rowOff>198377</xdr:rowOff>
    </xdr:to>
    <xdr:sp macro="" textlink="" fLocksText="0">
      <xdr:nvSpPr>
        <xdr:cNvPr id="21" name="ExTxt2">
          <a:extLst>
            <a:ext uri="{FF2B5EF4-FFF2-40B4-BE49-F238E27FC236}">
              <a16:creationId xmlns:a16="http://schemas.microsoft.com/office/drawing/2014/main" id="{6FD4E028-7EEA-4105-B7A2-45E5EBF1D33A}"/>
            </a:ext>
          </a:extLst>
        </xdr:cNvPr>
        <xdr:cNvSpPr txBox="1"/>
      </xdr:nvSpPr>
      <xdr:spPr>
        <a:xfrm>
          <a:off x="2527782" y="2351450"/>
          <a:ext cx="6360583" cy="272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en-US" sz="1200" b="1" u="none">
            <a:solidFill>
              <a:sysClr val="windowText" lastClr="00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914400</xdr:colOff>
      <xdr:row>10</xdr:row>
      <xdr:rowOff>280456</xdr:rowOff>
    </xdr:from>
    <xdr:to>
      <xdr:col>14</xdr:col>
      <xdr:colOff>16932</xdr:colOff>
      <xdr:row>11</xdr:row>
      <xdr:rowOff>237067</xdr:rowOff>
    </xdr:to>
    <xdr:sp macro="" textlink="" fLocksText="0">
      <xdr:nvSpPr>
        <xdr:cNvPr id="22" name="ExTxt1">
          <a:extLst>
            <a:ext uri="{FF2B5EF4-FFF2-40B4-BE49-F238E27FC236}">
              <a16:creationId xmlns:a16="http://schemas.microsoft.com/office/drawing/2014/main" id="{FFC4441F-5C69-4ACA-8202-E2D1A5C624E1}"/>
            </a:ext>
          </a:extLst>
        </xdr:cNvPr>
        <xdr:cNvSpPr txBox="1"/>
      </xdr:nvSpPr>
      <xdr:spPr>
        <a:xfrm>
          <a:off x="2527300" y="2061631"/>
          <a:ext cx="6335182" cy="185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1200" b="1">
            <a:solidFill>
              <a:sysClr val="windowText" lastClr="00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200025</xdr:colOff>
      <xdr:row>0</xdr:row>
      <xdr:rowOff>116862</xdr:rowOff>
    </xdr:from>
    <xdr:ext cx="2695575" cy="461601"/>
    <xdr:sp macro="[0]!PrintClear3_Click" textlink="">
      <xdr:nvSpPr>
        <xdr:cNvPr id="23" name="PrintClear3">
          <a:extLst>
            <a:ext uri="{FF2B5EF4-FFF2-40B4-BE49-F238E27FC236}">
              <a16:creationId xmlns:a16="http://schemas.microsoft.com/office/drawing/2014/main" id="{72903905-023E-45F1-A8CD-C9876A14B1B5}"/>
            </a:ext>
          </a:extLst>
        </xdr:cNvPr>
        <xdr:cNvSpPr/>
      </xdr:nvSpPr>
      <xdr:spPr>
        <a:xfrm>
          <a:off x="5254625" y="116862"/>
          <a:ext cx="2695575" cy="461601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2400">
              <a:latin typeface="Amasis MT Pro Black" panose="02040A04050005020304" pitchFamily="18" charset="0"/>
            </a:rPr>
            <a:t>Print</a:t>
          </a:r>
          <a:r>
            <a:rPr lang="en-US" sz="2400" baseline="0">
              <a:latin typeface="Amasis MT Pro Black" panose="02040A04050005020304" pitchFamily="18" charset="0"/>
            </a:rPr>
            <a:t> and Clear</a:t>
          </a:r>
          <a:endParaRPr lang="en-US" sz="2400">
            <a:latin typeface="Amasis MT Pro Black" panose="02040A04050005020304" pitchFamily="18" charset="0"/>
          </a:endParaRPr>
        </a:p>
      </xdr:txBody>
    </xdr:sp>
    <xdr:clientData fPrintsWithSheet="0"/>
  </xdr:oneCellAnchor>
  <xdr:twoCellAnchor>
    <xdr:from>
      <xdr:col>17</xdr:col>
      <xdr:colOff>1209222</xdr:colOff>
      <xdr:row>0</xdr:row>
      <xdr:rowOff>338666</xdr:rowOff>
    </xdr:from>
    <xdr:to>
      <xdr:col>18</xdr:col>
      <xdr:colOff>433615</xdr:colOff>
      <xdr:row>2</xdr:row>
      <xdr:rowOff>413961</xdr:rowOff>
    </xdr:to>
    <xdr:sp macro="" textlink="">
      <xdr:nvSpPr>
        <xdr:cNvPr id="24" name="Rectangle: Diagonal Corners Snipped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050965-B85D-4E25-BDBF-9BFBD6EC80AE}"/>
            </a:ext>
          </a:extLst>
        </xdr:cNvPr>
        <xdr:cNvSpPr/>
      </xdr:nvSpPr>
      <xdr:spPr>
        <a:xfrm>
          <a:off x="11372397" y="186266"/>
          <a:ext cx="434068" cy="376920"/>
        </a:xfrm>
        <a:prstGeom prst="snip2Diag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latin typeface="Another Typewriter" pitchFamily="1" charset="0"/>
            </a:rPr>
            <a:t>Go to Powder Inventory</a:t>
          </a:r>
        </a:p>
      </xdr:txBody>
    </xdr:sp>
    <xdr:clientData/>
  </xdr:twoCellAnchor>
  <xdr:absoluteAnchor>
    <xdr:pos x="2046818" y="2112433"/>
    <xdr:ext cx="1126490" cy="444500"/>
    <xdr:sp macro="[0]!RailingButton_Click" textlink="">
      <xdr:nvSpPr>
        <xdr:cNvPr id="25" name="RailingButton">
          <a:extLst>
            <a:ext uri="{FF2B5EF4-FFF2-40B4-BE49-F238E27FC236}">
              <a16:creationId xmlns:a16="http://schemas.microsoft.com/office/drawing/2014/main" id="{F5775EDD-A1E3-44AA-B7CA-10AAA44FDE28}"/>
            </a:ext>
          </a:extLst>
        </xdr:cNvPr>
        <xdr:cNvSpPr>
          <a:spLocks/>
        </xdr:cNvSpPr>
      </xdr:nvSpPr>
      <xdr:spPr>
        <a:xfrm>
          <a:off x="2046818" y="2112433"/>
          <a:ext cx="1126490" cy="444500"/>
        </a:xfrm>
        <a:prstGeom prst="snip2Diag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masis MT Pro Black" panose="02040A04050005020304" pitchFamily="18" charset="0"/>
            </a:rPr>
            <a:t>Railing</a:t>
          </a:r>
          <a:r>
            <a:rPr lang="en-US" sz="1400" baseline="0">
              <a:latin typeface="Amasis MT Pro Black" panose="02040A04050005020304" pitchFamily="18" charset="0"/>
            </a:rPr>
            <a:t>s</a:t>
          </a:r>
          <a:endParaRPr lang="en-US" sz="1400">
            <a:latin typeface="Amasis MT Pro Black" panose="02040A04050005020304" pitchFamily="18" charset="0"/>
          </a:endParaRPr>
        </a:p>
      </xdr:txBody>
    </xdr:sp>
    <xdr:clientData fPrintsWithSheet="0"/>
  </xdr:absoluteAnchor>
  <xdr:absoluteAnchor>
    <xdr:pos x="2112009" y="3515783"/>
    <xdr:ext cx="6143414" cy="311151"/>
    <xdr:sp macro="" textlink="">
      <xdr:nvSpPr>
        <xdr:cNvPr id="26" name="RailTxtBox" hidden="1">
          <a:extLst>
            <a:ext uri="{FF2B5EF4-FFF2-40B4-BE49-F238E27FC236}">
              <a16:creationId xmlns:a16="http://schemas.microsoft.com/office/drawing/2014/main" id="{F26478C3-DA7B-4558-972D-56B90A5411B9}"/>
            </a:ext>
          </a:extLst>
        </xdr:cNvPr>
        <xdr:cNvSpPr>
          <a:spLocks/>
        </xdr:cNvSpPr>
      </xdr:nvSpPr>
      <xdr:spPr>
        <a:xfrm>
          <a:off x="2112009" y="3515783"/>
          <a:ext cx="6143414" cy="3111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u="none">
              <a:solidFill>
                <a:sysClr val="windowText" lastClr="000000"/>
              </a:solidFill>
              <a:latin typeface="Amasis MT Pro Black" panose="02040A04050005020304" pitchFamily="18" charset="0"/>
            </a:rPr>
            <a:t>    </a:t>
          </a:r>
          <a:r>
            <a:rPr lang="en-US" sz="1200" u="sng">
              <a:solidFill>
                <a:sysClr val="windowText" lastClr="000000"/>
              </a:solidFill>
              <a:latin typeface="Amasis MT Pro Black" panose="02040A04050005020304" pitchFamily="18" charset="0"/>
            </a:rPr>
            <a:t>Picket</a:t>
          </a:r>
          <a:r>
            <a:rPr lang="en-US" sz="1200" u="none" baseline="0">
              <a:solidFill>
                <a:sysClr val="windowText" lastClr="000000"/>
              </a:solidFill>
              <a:latin typeface="Amasis MT Pro Black" panose="02040A04050005020304" pitchFamily="18" charset="0"/>
            </a:rPr>
            <a:t>                                          </a:t>
          </a:r>
          <a:r>
            <a:rPr lang="en-US" sz="1200" u="sng" baseline="0">
              <a:solidFill>
                <a:sysClr val="windowText" lastClr="000000"/>
              </a:solidFill>
              <a:latin typeface="Amasis MT Pro Black" panose="02040A04050005020304" pitchFamily="18" charset="0"/>
            </a:rPr>
            <a:t>Glass</a:t>
          </a:r>
          <a:r>
            <a:rPr lang="en-US" sz="1200" u="none" baseline="0">
              <a:solidFill>
                <a:sysClr val="windowText" lastClr="000000"/>
              </a:solidFill>
              <a:latin typeface="Amasis MT Pro Black" panose="02040A04050005020304" pitchFamily="18" charset="0"/>
            </a:rPr>
            <a:t>                                     </a:t>
          </a:r>
          <a:r>
            <a:rPr lang="en-US" sz="1200" u="sng" baseline="0">
              <a:solidFill>
                <a:sysClr val="windowText" lastClr="000000"/>
              </a:solidFill>
              <a:latin typeface="Amasis MT Pro Black" panose="02040A04050005020304" pitchFamily="18" charset="0"/>
            </a:rPr>
            <a:t>Grab Bars</a:t>
          </a:r>
        </a:p>
        <a:p>
          <a:pPr algn="l"/>
          <a:endParaRPr lang="en-US" sz="1200" u="none" baseline="0">
            <a:solidFill>
              <a:sysClr val="windowText" lastClr="000000"/>
            </a:solidFill>
            <a:latin typeface="Amasis MT Pro Black" panose="02040A04050005020304" pitchFamily="18" charset="0"/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                                                                                                                                                                               </a:t>
          </a: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absoluteAnchor>
  <xdr:twoCellAnchor>
    <xdr:from>
      <xdr:col>3</xdr:col>
      <xdr:colOff>905932</xdr:colOff>
      <xdr:row>25</xdr:row>
      <xdr:rowOff>143933</xdr:rowOff>
    </xdr:from>
    <xdr:to>
      <xdr:col>13</xdr:col>
      <xdr:colOff>499533</xdr:colOff>
      <xdr:row>25</xdr:row>
      <xdr:rowOff>457201</xdr:rowOff>
    </xdr:to>
    <xdr:sp macro="" textlink="">
      <xdr:nvSpPr>
        <xdr:cNvPr id="27" name="RailTxtBox2" hidden="1">
          <a:extLst>
            <a:ext uri="{FF2B5EF4-FFF2-40B4-BE49-F238E27FC236}">
              <a16:creationId xmlns:a16="http://schemas.microsoft.com/office/drawing/2014/main" id="{F2815DA0-A44B-45D0-B8AD-A8D5AA42E5D8}"/>
            </a:ext>
          </a:extLst>
        </xdr:cNvPr>
        <xdr:cNvSpPr/>
      </xdr:nvSpPr>
      <xdr:spPr>
        <a:xfrm>
          <a:off x="2528357" y="4827058"/>
          <a:ext cx="6184901" cy="43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u="none">
              <a:solidFill>
                <a:sysClr val="windowText" lastClr="000000"/>
              </a:solidFill>
              <a:latin typeface="Amasis MT Pro Black" panose="02040A04050005020304" pitchFamily="18" charset="0"/>
            </a:rPr>
            <a:t>    </a:t>
          </a:r>
          <a:r>
            <a:rPr lang="en-US" sz="1200" u="sng">
              <a:solidFill>
                <a:sysClr val="windowText" lastClr="000000"/>
              </a:solidFill>
              <a:latin typeface="Amasis MT Pro Black" panose="02040A04050005020304" pitchFamily="18" charset="0"/>
            </a:rPr>
            <a:t>Posts</a:t>
          </a:r>
          <a:r>
            <a:rPr lang="en-US" sz="1200" u="none" baseline="0">
              <a:solidFill>
                <a:sysClr val="windowText" lastClr="000000"/>
              </a:solidFill>
              <a:latin typeface="Amasis MT Pro Black" panose="02040A04050005020304" pitchFamily="18" charset="0"/>
            </a:rPr>
            <a:t>                                                                                           </a:t>
          </a:r>
          <a:r>
            <a:rPr lang="en-US" sz="1200" u="sng" baseline="0">
              <a:solidFill>
                <a:sysClr val="windowText" lastClr="000000"/>
              </a:solidFill>
              <a:latin typeface="Amasis MT Pro Black" panose="02040A04050005020304" pitchFamily="18" charset="0"/>
            </a:rPr>
            <a:t>Brackets</a:t>
          </a:r>
        </a:p>
        <a:p>
          <a:pPr algn="l"/>
          <a:endParaRPr lang="en-US" sz="1200" u="none" baseline="0">
            <a:solidFill>
              <a:sysClr val="windowText" lastClr="000000"/>
            </a:solidFill>
            <a:latin typeface="Amasis MT Pro Black" panose="02040A04050005020304" pitchFamily="18" charset="0"/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                                                                                                                                                                               </a:t>
          </a: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015E0AD977030D4/Desktop/VPC1.6Testings.xlsm" TargetMode="External"/><Relationship Id="rId1" Type="http://schemas.openxmlformats.org/officeDocument/2006/relationships/externalLinkPath" Target="/B015E0AD977030D4/Desktop/VPC1.6Testing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vicpowder-my.sharepoint.com/personal/sales_vicpowder_com/Documents/VPC%20App/VPC1.4.xlsm" TargetMode="External"/><Relationship Id="rId1" Type="http://schemas.openxmlformats.org/officeDocument/2006/relationships/externalLinkPath" Target="/B015E0AD977030D4/Desktop/VPC1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mall Powder"/>
      <sheetName val="Settings"/>
      <sheetName val="HomePage"/>
      <sheetName val="UsefulFiles"/>
      <sheetName val="TelephoneList"/>
      <sheetName val="CCFee"/>
      <sheetName val="Inventory3"/>
      <sheetName val="Quoting Start Page"/>
      <sheetName val="Quotinator3"/>
      <sheetName val="Railinator3"/>
      <sheetName val="PriceList"/>
      <sheetName val="The Boxinator"/>
      <sheetName val="Plankton"/>
      <sheetName val="Sprayer Print Sheet"/>
      <sheetName val="PowderInventory3"/>
      <sheetName val="Sheet1"/>
      <sheetName val="Inventory Form"/>
      <sheetName val="PSM Quote"/>
    </sheetNames>
    <sheetDataSet>
      <sheetData sheetId="0"/>
      <sheetData sheetId="1">
        <row r="3">
          <cell r="F3">
            <v>600</v>
          </cell>
          <cell r="G3">
            <v>5</v>
          </cell>
        </row>
      </sheetData>
      <sheetData sheetId="2"/>
      <sheetData sheetId="3"/>
      <sheetData sheetId="4"/>
      <sheetData sheetId="5"/>
      <sheetData sheetId="6"/>
      <sheetData sheetId="7">
        <row r="29">
          <cell r="L29">
            <v>0.50024305555555559</v>
          </cell>
          <cell r="N29">
            <v>0.50114583333333329</v>
          </cell>
        </row>
      </sheetData>
      <sheetData sheetId="8">
        <row r="4">
          <cell r="O4">
            <v>600</v>
          </cell>
          <cell r="P4">
            <v>5</v>
          </cell>
          <cell r="Q4">
            <v>4</v>
          </cell>
        </row>
      </sheetData>
      <sheetData sheetId="9"/>
      <sheetData sheetId="10"/>
      <sheetData sheetId="11">
        <row r="9">
          <cell r="F9">
            <v>120</v>
          </cell>
          <cell r="G9">
            <v>16</v>
          </cell>
          <cell r="H9">
            <v>16</v>
          </cell>
        </row>
        <row r="12">
          <cell r="S12">
            <v>56.888888888888893</v>
          </cell>
        </row>
        <row r="16">
          <cell r="D16">
            <v>3.5</v>
          </cell>
          <cell r="E16">
            <v>84.833333333333329</v>
          </cell>
        </row>
        <row r="19">
          <cell r="M19">
            <v>50.555555555555557</v>
          </cell>
          <cell r="S19">
            <v>43.555555555555557</v>
          </cell>
        </row>
      </sheetData>
      <sheetData sheetId="12">
        <row r="9">
          <cell r="E9">
            <v>4</v>
          </cell>
        </row>
      </sheetData>
      <sheetData sheetId="13"/>
      <sheetData sheetId="14">
        <row r="8">
          <cell r="I8" t="str">
            <v>Primer</v>
          </cell>
        </row>
        <row r="11">
          <cell r="I11" t="str">
            <v>Iron Ore</v>
          </cell>
        </row>
        <row r="12">
          <cell r="I12" t="str">
            <v>RAL 5008</v>
          </cell>
        </row>
        <row r="15">
          <cell r="I15" t="str">
            <v xml:space="preserve">Grey Hammertone </v>
          </cell>
        </row>
        <row r="16">
          <cell r="I16" t="str">
            <v>70% White</v>
          </cell>
        </row>
        <row r="19">
          <cell r="I19" t="str">
            <v xml:space="preserve">Appliance White </v>
          </cell>
        </row>
        <row r="20">
          <cell r="I20" t="str">
            <v>Black Magic</v>
          </cell>
        </row>
        <row r="21">
          <cell r="I21" t="str">
            <v>Coffee Tan HFT604S8</v>
          </cell>
        </row>
        <row r="22">
          <cell r="I22" t="str">
            <v xml:space="preserve">FBE Multi Purpose Green </v>
          </cell>
        </row>
        <row r="23">
          <cell r="I23" t="str">
            <v xml:space="preserve">Unicream </v>
          </cell>
        </row>
        <row r="24">
          <cell r="I24" t="str">
            <v>Sky White</v>
          </cell>
        </row>
        <row r="27">
          <cell r="I27" t="str">
            <v xml:space="preserve">Pearlized Blk. </v>
          </cell>
        </row>
        <row r="28">
          <cell r="I28" t="str">
            <v>Highland Bronze</v>
          </cell>
        </row>
        <row r="29">
          <cell r="I29" t="str">
            <v xml:space="preserve">Yamaha Steel Blue  </v>
          </cell>
        </row>
        <row r="30">
          <cell r="I30" t="str">
            <v>RetroReflective Copper</v>
          </cell>
        </row>
        <row r="31">
          <cell r="I31" t="str">
            <v>Anodized Sugar Grape</v>
          </cell>
        </row>
        <row r="32">
          <cell r="I32" t="str">
            <v>Urban Stealth</v>
          </cell>
        </row>
        <row r="35">
          <cell r="I35" t="str">
            <v xml:space="preserve">Gold vein </v>
          </cell>
        </row>
        <row r="36">
          <cell r="I36" t="str">
            <v>Gun Metal</v>
          </cell>
        </row>
        <row r="37">
          <cell r="I37" t="str">
            <v>Rideau Brown (Prsm)</v>
          </cell>
        </row>
        <row r="38">
          <cell r="I38" t="str">
            <v>Silver Vein</v>
          </cell>
        </row>
        <row r="41">
          <cell r="I41" t="str">
            <v xml:space="preserve">Munsell Green </v>
          </cell>
        </row>
        <row r="42">
          <cell r="I42" t="str">
            <v xml:space="preserve">Munsell Green </v>
          </cell>
        </row>
        <row r="45">
          <cell r="I45" t="str">
            <v xml:space="preserve">Almond </v>
          </cell>
        </row>
        <row r="46">
          <cell r="I46" t="str">
            <v xml:space="preserve">Ansi 61 Grey </v>
          </cell>
        </row>
        <row r="47">
          <cell r="I47" t="str">
            <v xml:space="preserve">ANSI 70 Grey </v>
          </cell>
        </row>
        <row r="48">
          <cell r="I48" t="str">
            <v xml:space="preserve">ASA 49 Grey </v>
          </cell>
        </row>
        <row r="49">
          <cell r="I49" t="str">
            <v xml:space="preserve">Blk. Sandtex </v>
          </cell>
        </row>
        <row r="50">
          <cell r="I50" t="str">
            <v xml:space="preserve">Bloody Mary </v>
          </cell>
        </row>
        <row r="51">
          <cell r="I51" t="str">
            <v xml:space="preserve">Fence Brown </v>
          </cell>
        </row>
        <row r="52">
          <cell r="I52" t="str">
            <v xml:space="preserve">Hydel 61 </v>
          </cell>
        </row>
        <row r="53">
          <cell r="I53" t="str">
            <v xml:space="preserve">Metro Brown </v>
          </cell>
        </row>
        <row r="54">
          <cell r="I54" t="str">
            <v>Mirror Blk.</v>
          </cell>
        </row>
        <row r="55">
          <cell r="I55" t="str">
            <v>Oyster Grey</v>
          </cell>
        </row>
        <row r="56">
          <cell r="I56" t="str">
            <v>Pewter(Silver Grey Met)</v>
          </cell>
        </row>
        <row r="57">
          <cell r="I57" t="str">
            <v>RAL 1000</v>
          </cell>
        </row>
        <row r="58">
          <cell r="I58" t="str">
            <v>RAL 1001</v>
          </cell>
        </row>
        <row r="59">
          <cell r="I59" t="str">
            <v>RAL 1007</v>
          </cell>
        </row>
        <row r="60">
          <cell r="I60" t="str">
            <v>RAL 1013</v>
          </cell>
        </row>
        <row r="61">
          <cell r="I61" t="str">
            <v>RAL 1019</v>
          </cell>
        </row>
        <row r="62">
          <cell r="I62" t="str">
            <v>RAL 2001</v>
          </cell>
        </row>
        <row r="63">
          <cell r="I63" t="str">
            <v>RAL 2004</v>
          </cell>
        </row>
        <row r="64">
          <cell r="I64" t="str">
            <v>RAL 3000</v>
          </cell>
        </row>
        <row r="65">
          <cell r="I65" t="str">
            <v>RAL 3002</v>
          </cell>
        </row>
        <row r="66">
          <cell r="I66" t="str">
            <v>RAL 3004</v>
          </cell>
        </row>
        <row r="67">
          <cell r="I67" t="str">
            <v>RAL 3007</v>
          </cell>
        </row>
        <row r="68">
          <cell r="I68" t="str">
            <v>RAL 5001</v>
          </cell>
        </row>
        <row r="69">
          <cell r="I69" t="str">
            <v>RAL 5003</v>
          </cell>
        </row>
        <row r="70">
          <cell r="I70" t="str">
            <v>RAL 5004</v>
          </cell>
        </row>
        <row r="71">
          <cell r="I71" t="str">
            <v>RAL 5012</v>
          </cell>
        </row>
        <row r="72">
          <cell r="I72" t="str">
            <v>RAL 5013</v>
          </cell>
        </row>
        <row r="73">
          <cell r="I73" t="str">
            <v>RAL 5015</v>
          </cell>
        </row>
        <row r="74">
          <cell r="I74" t="str">
            <v>RAL 5020</v>
          </cell>
        </row>
        <row r="75">
          <cell r="I75" t="str">
            <v>RAL 5024</v>
          </cell>
        </row>
        <row r="76">
          <cell r="I76" t="str">
            <v>RAL 6003</v>
          </cell>
        </row>
        <row r="77">
          <cell r="I77" t="str">
            <v>RAL 6005</v>
          </cell>
        </row>
        <row r="78">
          <cell r="I78" t="str">
            <v>RAL 6009</v>
          </cell>
        </row>
        <row r="79">
          <cell r="I79" t="str">
            <v>RAL 6015</v>
          </cell>
        </row>
        <row r="80">
          <cell r="I80" t="str">
            <v>RAL 6019</v>
          </cell>
        </row>
        <row r="81">
          <cell r="I81" t="str">
            <v>RAL 6020</v>
          </cell>
        </row>
        <row r="82">
          <cell r="I82" t="str">
            <v>RAL 6024</v>
          </cell>
        </row>
        <row r="83">
          <cell r="I83" t="str">
            <v>RAL 6028</v>
          </cell>
        </row>
        <row r="84">
          <cell r="I84" t="str">
            <v>RAL 7003</v>
          </cell>
        </row>
        <row r="85">
          <cell r="I85" t="str">
            <v>RAL 7004</v>
          </cell>
        </row>
        <row r="86">
          <cell r="I86" t="str">
            <v>RAL 7006</v>
          </cell>
        </row>
        <row r="87">
          <cell r="I87" t="str">
            <v>RAL 7010</v>
          </cell>
        </row>
        <row r="88">
          <cell r="I88" t="str">
            <v>RAL 7011</v>
          </cell>
        </row>
        <row r="89">
          <cell r="I89" t="str">
            <v>RAL 7012</v>
          </cell>
        </row>
        <row r="90">
          <cell r="I90" t="str">
            <v>RAL 7015</v>
          </cell>
        </row>
        <row r="91">
          <cell r="I91" t="str">
            <v>RAL 7023</v>
          </cell>
        </row>
        <row r="92">
          <cell r="I92" t="str">
            <v>RAL 7035</v>
          </cell>
        </row>
        <row r="93">
          <cell r="I93" t="str">
            <v>RAL 7039 SW</v>
          </cell>
        </row>
        <row r="94">
          <cell r="I94" t="str">
            <v>RAL 7039 Matte</v>
          </cell>
        </row>
        <row r="95">
          <cell r="I95" t="str">
            <v xml:space="preserve">RAL 7044 </v>
          </cell>
        </row>
        <row r="96">
          <cell r="I96" t="str">
            <v>RAL 7046</v>
          </cell>
        </row>
        <row r="97">
          <cell r="I97" t="str">
            <v>RAL 8014</v>
          </cell>
        </row>
        <row r="98">
          <cell r="I98" t="str">
            <v>RAL 8025</v>
          </cell>
        </row>
        <row r="99">
          <cell r="I99" t="str">
            <v>RAL 9002</v>
          </cell>
        </row>
        <row r="100">
          <cell r="I100" t="str">
            <v>RAL 9010</v>
          </cell>
        </row>
        <row r="101">
          <cell r="I101" t="str">
            <v>RR Green</v>
          </cell>
        </row>
        <row r="102">
          <cell r="I102" t="str">
            <v xml:space="preserve">Sandlewood </v>
          </cell>
        </row>
        <row r="103">
          <cell r="I103" t="str">
            <v xml:space="preserve">Walnut Sandtex </v>
          </cell>
        </row>
        <row r="104">
          <cell r="I104" t="str">
            <v xml:space="preserve">White Tex. </v>
          </cell>
        </row>
        <row r="107">
          <cell r="I107" t="str">
            <v>Flat Blk. S</v>
          </cell>
        </row>
        <row r="108">
          <cell r="I108" t="str">
            <v>Gloss Blk Texture S</v>
          </cell>
        </row>
        <row r="109">
          <cell r="I109" t="str">
            <v>Midnight Blk. S</v>
          </cell>
        </row>
        <row r="110">
          <cell r="I110" t="str">
            <v>Black Sandtex S</v>
          </cell>
        </row>
        <row r="111">
          <cell r="I111" t="str">
            <v xml:space="preserve"> Blk. Mar S</v>
          </cell>
        </row>
        <row r="112">
          <cell r="I112" t="str">
            <v xml:space="preserve"> Metro Brown S</v>
          </cell>
        </row>
        <row r="113">
          <cell r="I113" t="str">
            <v>XP Gloss White S</v>
          </cell>
        </row>
        <row r="114">
          <cell r="I114" t="str">
            <v>Madill Orange S</v>
          </cell>
        </row>
        <row r="115">
          <cell r="I115" t="str">
            <v>XP Metro Brown S</v>
          </cell>
        </row>
        <row r="116">
          <cell r="I116" t="str">
            <v>NY Green S</v>
          </cell>
        </row>
        <row r="117">
          <cell r="I117" t="str">
            <v>Rideau Brown S</v>
          </cell>
        </row>
        <row r="118">
          <cell r="I118" t="str">
            <v>Safety Yellow S</v>
          </cell>
        </row>
        <row r="119">
          <cell r="I119" t="str">
            <v>White Sandtex S</v>
          </cell>
        </row>
        <row r="120">
          <cell r="I120" t="str">
            <v>RAL 1014S</v>
          </cell>
        </row>
        <row r="121">
          <cell r="I121" t="str">
            <v>RAL 1023S</v>
          </cell>
        </row>
        <row r="122">
          <cell r="I122" t="str">
            <v>RAL 1027S</v>
          </cell>
        </row>
        <row r="123">
          <cell r="I123" t="str">
            <v>RAL 1028S</v>
          </cell>
        </row>
        <row r="124">
          <cell r="I124" t="str">
            <v>RAL 2004S</v>
          </cell>
        </row>
        <row r="125">
          <cell r="I125" t="str">
            <v>RAL 3002S</v>
          </cell>
        </row>
        <row r="126">
          <cell r="I126" t="str">
            <v>RAL 3003S</v>
          </cell>
        </row>
        <row r="127">
          <cell r="I127" t="str">
            <v>RAL 5001S</v>
          </cell>
        </row>
        <row r="128">
          <cell r="I128" t="str">
            <v>RAL 5002S</v>
          </cell>
        </row>
        <row r="129">
          <cell r="I129" t="str">
            <v>RAL 5004S</v>
          </cell>
        </row>
        <row r="130">
          <cell r="I130" t="str">
            <v>RAL 5008S</v>
          </cell>
        </row>
        <row r="131">
          <cell r="I131" t="str">
            <v>RAL 5019S</v>
          </cell>
        </row>
        <row r="132">
          <cell r="I132" t="str">
            <v>RAL 6005S</v>
          </cell>
        </row>
        <row r="133">
          <cell r="I133" t="str">
            <v>RAL 6009S</v>
          </cell>
        </row>
        <row r="134">
          <cell r="I134" t="str">
            <v>RAL 6020S</v>
          </cell>
        </row>
        <row r="135">
          <cell r="I135" t="str">
            <v>RAL 6021S</v>
          </cell>
        </row>
        <row r="136">
          <cell r="I136" t="str">
            <v>RAL 6034S</v>
          </cell>
        </row>
        <row r="137">
          <cell r="I137" t="str">
            <v>RAL 7022S</v>
          </cell>
        </row>
        <row r="138">
          <cell r="I138" t="str">
            <v>RAL 7030S</v>
          </cell>
        </row>
        <row r="139">
          <cell r="I139" t="str">
            <v>RAL 7035S</v>
          </cell>
        </row>
        <row r="140">
          <cell r="I140" t="str">
            <v>RAL 7039S</v>
          </cell>
        </row>
        <row r="141">
          <cell r="I141" t="str">
            <v>RAL 7040S</v>
          </cell>
        </row>
        <row r="142">
          <cell r="I142" t="str">
            <v>RAL 7042S</v>
          </cell>
        </row>
        <row r="143">
          <cell r="I143" t="str">
            <v>RAL 7044S</v>
          </cell>
        </row>
        <row r="144">
          <cell r="I144" t="str">
            <v>RAL 8019S</v>
          </cell>
        </row>
        <row r="145">
          <cell r="I145" t="str">
            <v>RAL 9017S</v>
          </cell>
        </row>
        <row r="148">
          <cell r="I148" t="str">
            <v xml:space="preserve">Anodized Silver </v>
          </cell>
        </row>
        <row r="149">
          <cell r="I149" t="str">
            <v>Anti Graffiti</v>
          </cell>
        </row>
        <row r="150">
          <cell r="I150" t="str">
            <v>Anthracite Met. Tex</v>
          </cell>
        </row>
        <row r="151">
          <cell r="I151" t="str">
            <v xml:space="preserve">Apollo White </v>
          </cell>
        </row>
        <row r="152">
          <cell r="I152" t="str">
            <v>ASA 61 Grey</v>
          </cell>
        </row>
        <row r="153">
          <cell r="I153" t="str">
            <v>Beige</v>
          </cell>
        </row>
        <row r="154">
          <cell r="I154" t="str">
            <v xml:space="preserve">Bengal Clear </v>
          </cell>
        </row>
        <row r="155">
          <cell r="I155" t="str">
            <v xml:space="preserve">Bengal Silver </v>
          </cell>
        </row>
        <row r="156">
          <cell r="I156" t="str">
            <v>**</v>
          </cell>
        </row>
        <row r="157">
          <cell r="I157" t="str">
            <v>SD Black Super Tex (Blk Sandtx)</v>
          </cell>
        </row>
        <row r="158">
          <cell r="I158" t="str">
            <v>Black Velvet  (SGB)</v>
          </cell>
        </row>
        <row r="159">
          <cell r="I159" t="str">
            <v>Breccia</v>
          </cell>
        </row>
        <row r="160">
          <cell r="I160" t="str">
            <v xml:space="preserve">C33 </v>
          </cell>
        </row>
        <row r="161">
          <cell r="I161" t="str">
            <v>Bronze C34</v>
          </cell>
        </row>
        <row r="162">
          <cell r="I162" t="str">
            <v xml:space="preserve">Cape Cod </v>
          </cell>
        </row>
        <row r="163">
          <cell r="I163" t="str">
            <v>Champagne</v>
          </cell>
        </row>
        <row r="164">
          <cell r="I164" t="str">
            <v xml:space="preserve">Deer Yellow </v>
          </cell>
        </row>
        <row r="165">
          <cell r="I165" t="str">
            <v xml:space="preserve">Dry protective Primer </v>
          </cell>
        </row>
        <row r="166">
          <cell r="I166" t="str">
            <v xml:space="preserve">Jet Blk.(Old SEMI GLOSS) </v>
          </cell>
        </row>
        <row r="167">
          <cell r="I167" t="str">
            <v>Matte Silver</v>
          </cell>
        </row>
        <row r="168">
          <cell r="I168" t="str">
            <v>ZF Flex Primer</v>
          </cell>
        </row>
        <row r="169">
          <cell r="I169" t="str">
            <v>Geronimo</v>
          </cell>
        </row>
        <row r="170">
          <cell r="I170" t="str">
            <v xml:space="preserve">Merc Blue </v>
          </cell>
        </row>
        <row r="171">
          <cell r="I171" t="str">
            <v xml:space="preserve">Mirror Silver </v>
          </cell>
        </row>
        <row r="172">
          <cell r="I172" t="str">
            <v xml:space="preserve">Nu Sparkle </v>
          </cell>
        </row>
        <row r="173">
          <cell r="I173" t="str">
            <v xml:space="preserve">Oil Rub Bronze </v>
          </cell>
        </row>
        <row r="174">
          <cell r="I174" t="str">
            <v xml:space="preserve">P2 Glimmer </v>
          </cell>
        </row>
        <row r="175">
          <cell r="I175" t="str">
            <v xml:space="preserve">P6 Glimmer </v>
          </cell>
        </row>
        <row r="176">
          <cell r="I176" t="str">
            <v xml:space="preserve">P7 Glimmer  </v>
          </cell>
        </row>
        <row r="177">
          <cell r="I177" t="str">
            <v>Safety Yellow</v>
          </cell>
        </row>
        <row r="178">
          <cell r="I178" t="str">
            <v xml:space="preserve">Sahara Gold </v>
          </cell>
        </row>
        <row r="179">
          <cell r="I179" t="str">
            <v xml:space="preserve">SD Gloss White  </v>
          </cell>
        </row>
        <row r="180">
          <cell r="I180" t="str">
            <v>Sea Shell White</v>
          </cell>
        </row>
        <row r="181">
          <cell r="I181" t="str">
            <v xml:space="preserve">Solar Flat Blk </v>
          </cell>
        </row>
        <row r="182">
          <cell r="I182" t="str">
            <v>Gun Metal</v>
          </cell>
        </row>
        <row r="183">
          <cell r="I183" t="str">
            <v>61 Grey</v>
          </cell>
        </row>
        <row r="184">
          <cell r="I184" t="str">
            <v xml:space="preserve">61 Grey Texture </v>
          </cell>
        </row>
        <row r="185">
          <cell r="I185" t="str">
            <v>49 Grey</v>
          </cell>
        </row>
        <row r="186">
          <cell r="I186" t="str">
            <v>Semi-White-Matte</v>
          </cell>
        </row>
        <row r="187">
          <cell r="I187" t="str">
            <v>Wet Black (Gloss Blk)</v>
          </cell>
        </row>
        <row r="188">
          <cell r="I188" t="str">
            <v xml:space="preserve">WWWhite  </v>
          </cell>
        </row>
        <row r="189">
          <cell r="I189" t="str">
            <v>RAL 1000</v>
          </cell>
        </row>
        <row r="190">
          <cell r="I190" t="str">
            <v>RAL 1001 SD</v>
          </cell>
        </row>
        <row r="191">
          <cell r="I191" t="str">
            <v>RAL 1001</v>
          </cell>
        </row>
        <row r="192">
          <cell r="I192" t="str">
            <v>RAL 1002</v>
          </cell>
        </row>
        <row r="193">
          <cell r="I193" t="str">
            <v>RAL 1002 SD</v>
          </cell>
        </row>
        <row r="196">
          <cell r="I196" t="str">
            <v>RAL 1013</v>
          </cell>
        </row>
        <row r="197">
          <cell r="I197" t="str">
            <v>RAL 1014</v>
          </cell>
        </row>
        <row r="198">
          <cell r="I198" t="str">
            <v>RAL 1023</v>
          </cell>
        </row>
        <row r="199">
          <cell r="I199" t="str">
            <v>RAL 1001</v>
          </cell>
        </row>
        <row r="200">
          <cell r="I200" t="str">
            <v>RAL 1018</v>
          </cell>
        </row>
        <row r="201">
          <cell r="I201" t="str">
            <v>RAL 1019</v>
          </cell>
        </row>
        <row r="202">
          <cell r="I202" t="str">
            <v>RAL 1021</v>
          </cell>
        </row>
        <row r="203">
          <cell r="I203" t="str">
            <v>RAL 1028</v>
          </cell>
        </row>
        <row r="204">
          <cell r="I204" t="str">
            <v>RAL 1034</v>
          </cell>
        </row>
        <row r="205">
          <cell r="I205" t="str">
            <v>RAL 2001</v>
          </cell>
        </row>
        <row r="206">
          <cell r="I206" t="str">
            <v>RAL 3002</v>
          </cell>
        </row>
        <row r="207">
          <cell r="I207" t="str">
            <v>RAL 3003</v>
          </cell>
        </row>
        <row r="208">
          <cell r="I208" t="str">
            <v>RAL 3005</v>
          </cell>
        </row>
        <row r="209">
          <cell r="I209" t="str">
            <v>RAL 3007</v>
          </cell>
        </row>
        <row r="210">
          <cell r="I210" t="str">
            <v>RAL4002</v>
          </cell>
        </row>
        <row r="211">
          <cell r="I211" t="str">
            <v>RAL 4006</v>
          </cell>
        </row>
        <row r="212">
          <cell r="I212" t="str">
            <v>RAL 5000</v>
          </cell>
        </row>
        <row r="213">
          <cell r="I213" t="str">
            <v>RAL 5001</v>
          </cell>
        </row>
        <row r="214">
          <cell r="I214" t="str">
            <v>RAL 5002</v>
          </cell>
        </row>
        <row r="215">
          <cell r="I215" t="str">
            <v>RAL 5003</v>
          </cell>
        </row>
        <row r="216">
          <cell r="I216" t="str">
            <v>RAL 5004</v>
          </cell>
        </row>
        <row r="217">
          <cell r="I217" t="str">
            <v>RAL 5008</v>
          </cell>
        </row>
        <row r="218">
          <cell r="I218" t="str">
            <v>RAL 5013</v>
          </cell>
        </row>
        <row r="219">
          <cell r="I219" t="str">
            <v>RAL 5015</v>
          </cell>
        </row>
        <row r="220">
          <cell r="I220" t="str">
            <v>RAL 5018</v>
          </cell>
        </row>
        <row r="221">
          <cell r="I221" t="str">
            <v>RAL 5019</v>
          </cell>
        </row>
        <row r="222">
          <cell r="I222" t="str">
            <v>RAL 5020</v>
          </cell>
        </row>
        <row r="223">
          <cell r="I223" t="str">
            <v>RAL 5024</v>
          </cell>
        </row>
        <row r="224">
          <cell r="I224" t="str">
            <v>Ral 6002</v>
          </cell>
        </row>
        <row r="225">
          <cell r="I225" t="str">
            <v>RAL 6004</v>
          </cell>
        </row>
        <row r="226">
          <cell r="I226" t="str">
            <v>RAL 6005</v>
          </cell>
        </row>
        <row r="227">
          <cell r="I227" t="str">
            <v>RAL 6009</v>
          </cell>
        </row>
        <row r="228">
          <cell r="I228" t="str">
            <v>RAL 6011</v>
          </cell>
        </row>
        <row r="229">
          <cell r="I229" t="str">
            <v>RAL 6012</v>
          </cell>
        </row>
        <row r="230">
          <cell r="I230" t="str">
            <v>RAL 6013</v>
          </cell>
        </row>
        <row r="231">
          <cell r="I231" t="str">
            <v>RAL 6017</v>
          </cell>
        </row>
        <row r="232">
          <cell r="I232" t="str">
            <v xml:space="preserve">RAL 6018 </v>
          </cell>
        </row>
        <row r="233">
          <cell r="I233" t="str">
            <v>RAL 6019</v>
          </cell>
        </row>
        <row r="234">
          <cell r="I234" t="str">
            <v>RAL 6024</v>
          </cell>
        </row>
        <row r="235">
          <cell r="I235" t="str">
            <v>RAL 6026</v>
          </cell>
        </row>
        <row r="236">
          <cell r="I236" t="str">
            <v>RAL 7000</v>
          </cell>
        </row>
        <row r="237">
          <cell r="I237" t="str">
            <v>RAL 7001</v>
          </cell>
        </row>
        <row r="238">
          <cell r="I238" t="str">
            <v>RAL 7002</v>
          </cell>
        </row>
        <row r="239">
          <cell r="I239" t="str">
            <v>RAL 7003</v>
          </cell>
        </row>
        <row r="240">
          <cell r="I240" t="str">
            <v>RAL 7004 SD</v>
          </cell>
        </row>
        <row r="241">
          <cell r="I241" t="str">
            <v>RAL 7012</v>
          </cell>
        </row>
        <row r="242">
          <cell r="I242" t="str">
            <v>RAL 7015</v>
          </cell>
        </row>
        <row r="243">
          <cell r="I243" t="str">
            <v>RAL 7022</v>
          </cell>
        </row>
        <row r="244">
          <cell r="I244" t="str">
            <v>RAL 7023</v>
          </cell>
        </row>
        <row r="245">
          <cell r="I245" t="str">
            <v>RAL 7030</v>
          </cell>
        </row>
        <row r="246">
          <cell r="I246" t="str">
            <v>RAL 7031</v>
          </cell>
        </row>
        <row r="247">
          <cell r="I247" t="str">
            <v>RAL 7032</v>
          </cell>
        </row>
        <row r="248">
          <cell r="I248" t="str">
            <v>RAL 7033</v>
          </cell>
        </row>
        <row r="249">
          <cell r="I249" t="str">
            <v>RAL 7035</v>
          </cell>
        </row>
        <row r="250">
          <cell r="I250" t="str">
            <v>RAL 7037</v>
          </cell>
        </row>
        <row r="251">
          <cell r="I251" t="str">
            <v>RAL 7038</v>
          </cell>
        </row>
        <row r="252">
          <cell r="I252" t="str">
            <v>RAL 7039</v>
          </cell>
        </row>
        <row r="253">
          <cell r="I253" t="str">
            <v>RAL 7040</v>
          </cell>
        </row>
        <row r="254">
          <cell r="I254" t="str">
            <v>RAL 7044T</v>
          </cell>
        </row>
        <row r="255">
          <cell r="I255" t="str">
            <v xml:space="preserve">RAL 7044 </v>
          </cell>
        </row>
        <row r="256">
          <cell r="I256" t="str">
            <v>RAL 7045</v>
          </cell>
        </row>
        <row r="257">
          <cell r="I257" t="str">
            <v>RAL 7046</v>
          </cell>
        </row>
        <row r="258">
          <cell r="I258" t="str">
            <v>RAL 7047</v>
          </cell>
        </row>
        <row r="259">
          <cell r="I259" t="str">
            <v>RAL 7047M</v>
          </cell>
        </row>
        <row r="260">
          <cell r="I260">
            <v>8007</v>
          </cell>
        </row>
        <row r="261">
          <cell r="I261" t="str">
            <v>RAL 8016</v>
          </cell>
        </row>
        <row r="262">
          <cell r="I262" t="str">
            <v>RAL 8016 SD</v>
          </cell>
        </row>
        <row r="263">
          <cell r="I263" t="str">
            <v>RAL 8019</v>
          </cell>
        </row>
        <row r="264">
          <cell r="I264" t="str">
            <v>RAL 8028</v>
          </cell>
        </row>
        <row r="265">
          <cell r="I265" t="str">
            <v>RAL 9002</v>
          </cell>
        </row>
        <row r="266">
          <cell r="I266" t="str">
            <v>RAL 9003</v>
          </cell>
        </row>
        <row r="267">
          <cell r="I267" t="str">
            <v>RAL 9005 R/T</v>
          </cell>
        </row>
        <row r="268">
          <cell r="I268" t="str">
            <v xml:space="preserve">RAL 9005 </v>
          </cell>
        </row>
        <row r="269">
          <cell r="I269" t="str">
            <v>RAL 9006</v>
          </cell>
        </row>
        <row r="270">
          <cell r="I270" t="str">
            <v>RAL 9007</v>
          </cell>
        </row>
        <row r="273">
          <cell r="I273" t="str">
            <v>Misc Colors</v>
          </cell>
        </row>
        <row r="274">
          <cell r="I274" t="str">
            <v>Any Black</v>
          </cell>
        </row>
        <row r="275">
          <cell r="I275" t="str">
            <v>Blast Only</v>
          </cell>
        </row>
        <row r="276">
          <cell r="I276" t="str">
            <v>No Base</v>
          </cell>
        </row>
      </sheetData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HomePage"/>
      <sheetName val="UsefulFiles"/>
      <sheetName val="TelephoneList"/>
      <sheetName val="CCFee"/>
      <sheetName val="IntakeSheet3"/>
      <sheetName val="Small Powder"/>
      <sheetName val="Inventory3"/>
      <sheetName val="Quoting Start Page"/>
      <sheetName val="Railinator3"/>
      <sheetName val="Quotinator3"/>
      <sheetName val="The Boxinator"/>
      <sheetName val="PriceList"/>
      <sheetName val="Sprayer Print Sheet"/>
      <sheetName val="PowderInventory 3"/>
      <sheetName val="VPC1.4"/>
    </sheetNames>
    <sheetDataSet>
      <sheetData sheetId="0">
        <row r="3">
          <cell r="F3">
            <v>600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>
        <row r="29">
          <cell r="L29">
            <v>0.50024305555555559</v>
          </cell>
        </row>
      </sheetData>
      <sheetData sheetId="9"/>
      <sheetData sheetId="10">
        <row r="4">
          <cell r="O4">
            <v>600</v>
          </cell>
        </row>
      </sheetData>
      <sheetData sheetId="11">
        <row r="9">
          <cell r="F9">
            <v>72</v>
          </cell>
        </row>
      </sheetData>
      <sheetData sheetId="12"/>
      <sheetData sheetId="13"/>
      <sheetData sheetId="14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A7AE0-1D13-4895-95C0-17265DF351D2}">
  <sheetPr codeName="IntakeSheet3">
    <tabColor rgb="FFFFC000"/>
    <pageSetUpPr autoPageBreaks="0" fitToPage="1"/>
  </sheetPr>
  <dimension ref="A1:AT47"/>
  <sheetViews>
    <sheetView showGridLines="0" tabSelected="1" topLeftCell="C1" zoomScale="30" zoomScaleNormal="30" zoomScaleSheetLayoutView="100" workbookViewId="0">
      <selection activeCell="K7" sqref="K7:N7"/>
    </sheetView>
  </sheetViews>
  <sheetFormatPr defaultColWidth="9.04296875" defaultRowHeight="13.5" x14ac:dyDescent="0.7"/>
  <cols>
    <col min="1" max="1" width="15.86328125" style="1" hidden="1" customWidth="1"/>
    <col min="2" max="2" width="11.26953125" style="1" hidden="1" customWidth="1"/>
    <col min="3" max="3" width="16.26953125" style="1" customWidth="1"/>
    <col min="4" max="4" width="15.04296875" style="3" customWidth="1"/>
    <col min="5" max="5" width="16.86328125" style="1" customWidth="1"/>
    <col min="6" max="6" width="18.6796875" style="1" customWidth="1"/>
    <col min="7" max="7" width="2.26953125" style="1" customWidth="1"/>
    <col min="8" max="8" width="12.04296875" style="1" customWidth="1"/>
    <col min="9" max="9" width="10.26953125" style="1" customWidth="1"/>
    <col min="10" max="10" width="8.6796875" style="1" customWidth="1"/>
    <col min="11" max="11" width="3.26953125" style="1" customWidth="1"/>
    <col min="12" max="12" width="2.453125" style="1" customWidth="1"/>
    <col min="13" max="13" width="5.54296875" style="1" customWidth="1"/>
    <col min="14" max="14" width="12" style="1" customWidth="1"/>
    <col min="15" max="15" width="6.453125" style="1" customWidth="1"/>
    <col min="16" max="16" width="15.04296875" style="2" customWidth="1"/>
    <col min="17" max="17" width="21.04296875" style="1" customWidth="1"/>
    <col min="18" max="18" width="30" style="1" customWidth="1"/>
    <col min="19" max="19" width="7.453125" style="1" customWidth="1"/>
    <col min="20" max="20" width="5.6796875" style="1" customWidth="1"/>
    <col min="21" max="21" width="3.54296875" style="1" customWidth="1"/>
    <col min="22" max="22" width="19.04296875" style="1" customWidth="1"/>
    <col min="23" max="23" width="18.26953125" style="1" customWidth="1"/>
    <col min="24" max="24" width="9.04296875" style="1"/>
    <col min="25" max="25" width="2" style="1" customWidth="1"/>
    <col min="26" max="28" width="9.04296875" style="1" hidden="1" customWidth="1"/>
    <col min="29" max="29" width="22.6796875" style="1" customWidth="1"/>
    <col min="30" max="30" width="19.26953125" style="1" customWidth="1"/>
    <col min="31" max="40" width="9.04296875" style="1"/>
    <col min="41" max="41" width="17.04296875" style="1" customWidth="1"/>
    <col min="42" max="42" width="19.6796875" style="1" customWidth="1"/>
    <col min="43" max="16384" width="9.04296875" style="1"/>
  </cols>
  <sheetData>
    <row r="1" spans="1:46" ht="41.45" customHeight="1" x14ac:dyDescent="0.7"/>
    <row r="2" spans="1:46" ht="16.2" customHeight="1" x14ac:dyDescent="0.7">
      <c r="D2" s="95">
        <v>11</v>
      </c>
      <c r="E2" s="8"/>
    </row>
    <row r="3" spans="1:46" s="36" customFormat="1" ht="56.45" customHeight="1" thickBot="1" x14ac:dyDescent="1.8">
      <c r="D3" s="18"/>
      <c r="E3" s="94"/>
      <c r="F3" s="93" t="s">
        <v>31</v>
      </c>
      <c r="G3" s="92"/>
      <c r="H3" s="92"/>
      <c r="I3" s="92"/>
      <c r="J3" s="91"/>
      <c r="K3" s="90" t="s">
        <v>30</v>
      </c>
      <c r="L3" s="90"/>
      <c r="M3" s="90"/>
      <c r="N3" s="89">
        <v>1202</v>
      </c>
    </row>
    <row r="4" spans="1:46" ht="22.2" customHeight="1" thickTop="1" x14ac:dyDescent="0.7">
      <c r="E4" s="88" t="s">
        <v>29</v>
      </c>
      <c r="F4" s="88"/>
      <c r="G4" s="87"/>
      <c r="H4" s="86"/>
      <c r="I4" s="85" t="s">
        <v>28</v>
      </c>
      <c r="J4" s="84">
        <v>14</v>
      </c>
      <c r="K4" s="84" t="s">
        <v>27</v>
      </c>
      <c r="L4" s="84"/>
      <c r="M4" s="84"/>
      <c r="N4" s="83">
        <v>25</v>
      </c>
    </row>
    <row r="5" spans="1:46" s="30" customFormat="1" ht="9.6999999999999993" customHeight="1" thickBot="1" x14ac:dyDescent="0.9">
      <c r="D5" s="82"/>
      <c r="E5" s="81"/>
      <c r="F5" s="81"/>
      <c r="G5" s="80"/>
      <c r="H5" s="79"/>
      <c r="I5" s="78"/>
      <c r="J5" s="77"/>
      <c r="K5" s="77"/>
      <c r="L5" s="77"/>
      <c r="M5" s="77"/>
      <c r="N5" s="76"/>
    </row>
    <row r="6" spans="1:46" s="2" customFormat="1" ht="21.7" customHeight="1" thickTop="1" x14ac:dyDescent="1.1499999999999999">
      <c r="A6" s="33" t="s">
        <v>26</v>
      </c>
      <c r="B6"/>
      <c r="C6"/>
      <c r="D6" s="62"/>
      <c r="E6" s="75" t="s">
        <v>25</v>
      </c>
      <c r="F6" s="74"/>
      <c r="G6" s="73"/>
      <c r="H6" s="72" t="s">
        <v>24</v>
      </c>
      <c r="I6" s="71" t="s">
        <v>8</v>
      </c>
      <c r="J6" s="71"/>
      <c r="K6" s="70" t="s">
        <v>23</v>
      </c>
      <c r="L6" s="70"/>
      <c r="M6" s="70"/>
      <c r="N6" s="70"/>
      <c r="R6" s="4"/>
    </row>
    <row r="7" spans="1:46" s="2" customFormat="1" ht="35.450000000000003" customHeight="1" x14ac:dyDescent="1.05">
      <c r="A7" s="27" t="str" cm="1">
        <f t="array" ref="A7">_xlfn._xlws.FILTER([1]!PowderDataTbl3[Product Code], [1]!PowderDataTbl3[Powder Color3] = IntakeSheet3!K7, "")</f>
        <v>044/80060</v>
      </c>
      <c r="B7"/>
      <c r="C7"/>
      <c r="D7" s="62"/>
      <c r="E7" s="69"/>
      <c r="F7" s="68"/>
      <c r="G7" s="67" t="s">
        <v>22</v>
      </c>
      <c r="H7" s="66"/>
      <c r="I7" s="65" t="s">
        <v>21</v>
      </c>
      <c r="J7" s="64"/>
      <c r="K7" s="63" t="s">
        <v>20</v>
      </c>
      <c r="L7" s="63"/>
      <c r="M7" s="63"/>
      <c r="N7" s="63"/>
      <c r="R7" s="4"/>
      <c r="AD7" s="47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</row>
    <row r="8" spans="1:46" s="2" customFormat="1" ht="24.7" customHeight="1" thickBot="1" x14ac:dyDescent="0.9">
      <c r="A8" s="33" t="s">
        <v>19</v>
      </c>
      <c r="B8"/>
      <c r="C8"/>
      <c r="D8" s="62"/>
      <c r="E8" s="61" t="s">
        <v>18</v>
      </c>
      <c r="F8" s="60"/>
      <c r="G8" s="59">
        <v>7</v>
      </c>
      <c r="H8" s="58" t="s">
        <v>17</v>
      </c>
      <c r="I8" s="57" t="s">
        <v>8</v>
      </c>
      <c r="J8" s="56"/>
      <c r="K8" s="55" t="s">
        <v>16</v>
      </c>
      <c r="L8" s="55"/>
      <c r="M8" s="55"/>
      <c r="N8" s="55"/>
      <c r="R8" s="4"/>
      <c r="AD8" s="5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</row>
    <row r="9" spans="1:46" ht="23.45" customHeight="1" thickTop="1" thickBot="1" x14ac:dyDescent="0.9">
      <c r="A9" s="53" cm="1">
        <f t="array" ref="A9">_xlfn._xlws.FILTER([1]!PowderDataTbl3[Last Price Check], [1]!PowderDataTbl3[Powder Color3] = IntakeSheet3!K7, "")</f>
        <v>45478</v>
      </c>
      <c r="B9"/>
      <c r="C9"/>
      <c r="D9" s="52"/>
      <c r="E9" s="51" t="s">
        <v>15</v>
      </c>
      <c r="F9" s="51"/>
      <c r="G9" s="50"/>
      <c r="H9" s="49"/>
      <c r="I9" s="49"/>
      <c r="J9" s="49"/>
      <c r="K9" s="49"/>
      <c r="L9" s="49"/>
      <c r="M9" s="49"/>
      <c r="N9" s="48"/>
      <c r="R9" s="4"/>
      <c r="AD9" s="47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</row>
    <row r="10" spans="1:46" s="6" customFormat="1" ht="4.95" customHeight="1" thickTop="1" x14ac:dyDescent="0.75">
      <c r="A10" s="47"/>
      <c r="B10"/>
      <c r="C10"/>
      <c r="D10" s="46"/>
      <c r="E10" s="45"/>
      <c r="F10" s="15"/>
      <c r="G10" s="14"/>
      <c r="H10" s="14"/>
      <c r="I10" s="14"/>
      <c r="J10" s="14"/>
      <c r="K10" s="44"/>
      <c r="L10" s="43"/>
      <c r="M10" s="24"/>
      <c r="N10" s="2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</row>
    <row r="11" spans="1:46" s="30" customFormat="1" ht="26.45" customHeight="1" x14ac:dyDescent="0.75">
      <c r="A11" s="33" t="s">
        <v>14</v>
      </c>
      <c r="B11"/>
      <c r="C11"/>
      <c r="D11" s="42"/>
      <c r="E11" s="41" t="s">
        <v>13</v>
      </c>
      <c r="F11" s="40"/>
      <c r="G11" s="39"/>
      <c r="H11" s="39"/>
      <c r="I11" s="39"/>
      <c r="J11" s="39"/>
      <c r="K11" s="39"/>
      <c r="L11" s="39"/>
      <c r="M11" s="39"/>
      <c r="N11" s="38"/>
      <c r="R11" s="37"/>
      <c r="AC11" s="6"/>
      <c r="AD11" s="6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1"/>
    </row>
    <row r="12" spans="1:46" s="6" customFormat="1" ht="19.2" customHeight="1" x14ac:dyDescent="0.75">
      <c r="A12" s="27" t="str" cm="1">
        <f t="array" ref="A12">_xlfn._xlws.FILTER([1]!PowderDataTbl3[Notes], [1]!PowderDataTbl3[Powder Color3] = IntakeSheet3!K7, "")</f>
        <v>Don't Be Light</v>
      </c>
      <c r="B12"/>
      <c r="C12"/>
      <c r="D12" s="26"/>
      <c r="E12" s="25"/>
      <c r="F12" s="25"/>
      <c r="G12" s="25"/>
      <c r="H12" s="25"/>
      <c r="I12" s="25"/>
      <c r="J12" s="25"/>
      <c r="K12" s="25"/>
      <c r="L12" s="25"/>
      <c r="M12" s="25"/>
      <c r="N12" s="2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36"/>
    </row>
    <row r="13" spans="1:46" s="6" customFormat="1" ht="21.7" customHeight="1" x14ac:dyDescent="0.75">
      <c r="A13" s="33" t="s">
        <v>12</v>
      </c>
      <c r="B13"/>
      <c r="C13"/>
      <c r="D13" s="26"/>
      <c r="E13" s="35"/>
      <c r="F13" s="35"/>
      <c r="G13" s="35"/>
      <c r="H13" s="35"/>
      <c r="I13" s="35"/>
      <c r="J13" s="35"/>
      <c r="K13" s="35"/>
      <c r="L13" s="35"/>
      <c r="M13" s="35"/>
      <c r="N13" s="34"/>
      <c r="P13" s="4"/>
      <c r="Q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1"/>
    </row>
    <row r="14" spans="1:46" s="6" customFormat="1" ht="24" customHeight="1" x14ac:dyDescent="0.75">
      <c r="A14" s="27" t="str" cm="1">
        <f t="array" ref="A14">_xlfn._xlws.FILTER([1]!PowderDataTbl3[Company], [1]!PowderDataTbl3[Powder Color3] = IntakeSheet3!K7, "")</f>
        <v>Tiger Drylac</v>
      </c>
      <c r="B14"/>
      <c r="C14"/>
      <c r="E14" s="25"/>
      <c r="F14" s="25"/>
      <c r="G14" s="25"/>
      <c r="H14" s="25"/>
      <c r="I14" s="25"/>
      <c r="J14" s="25"/>
      <c r="K14" s="25"/>
      <c r="L14" s="25"/>
      <c r="M14" s="25"/>
      <c r="N14" s="24"/>
      <c r="P14" s="4"/>
      <c r="Q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30"/>
    </row>
    <row r="15" spans="1:46" s="6" customFormat="1" ht="23.45" customHeight="1" x14ac:dyDescent="0.75">
      <c r="A15" s="33" t="s">
        <v>11</v>
      </c>
      <c r="B15"/>
      <c r="C15"/>
      <c r="D15" s="26"/>
      <c r="E15" s="25"/>
      <c r="F15" s="25"/>
      <c r="G15" s="25"/>
      <c r="H15" s="25"/>
      <c r="I15" s="25"/>
      <c r="J15" s="25"/>
      <c r="K15" s="25"/>
      <c r="L15" s="25"/>
      <c r="M15" s="25"/>
      <c r="N15" s="24"/>
      <c r="P15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2"/>
    </row>
    <row r="16" spans="1:46" s="6" customFormat="1" ht="20.45" customHeight="1" x14ac:dyDescent="0.75">
      <c r="A16" s="27" cm="1">
        <f t="array" ref="A16">_xlfn._xlws.FILTER([1]!PowderDataTbl3[In Stock], [1]!PowderDataTbl3[Powder Color3] = IntakeSheet3!K7, "")</f>
        <v>25</v>
      </c>
      <c r="B16"/>
      <c r="C16"/>
      <c r="D16" s="26"/>
      <c r="E16" s="31"/>
      <c r="F16" s="31"/>
      <c r="G16" s="31"/>
      <c r="H16" s="31"/>
      <c r="I16" s="31"/>
      <c r="J16" s="31"/>
      <c r="K16" s="31"/>
      <c r="L16" s="31"/>
      <c r="M16" s="31"/>
      <c r="N16" s="24"/>
      <c r="P16" s="5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2"/>
    </row>
    <row r="17" spans="1:46" s="6" customFormat="1" ht="24" customHeight="1" x14ac:dyDescent="0.75">
      <c r="A17" s="33" t="s">
        <v>10</v>
      </c>
      <c r="D17" s="26"/>
      <c r="E17" s="31"/>
      <c r="F17" s="31"/>
      <c r="G17" s="31"/>
      <c r="H17" s="31"/>
      <c r="I17" s="31"/>
      <c r="J17" s="31"/>
      <c r="K17" s="31"/>
      <c r="L17" s="31"/>
      <c r="M17" s="31"/>
      <c r="N17" s="24"/>
      <c r="P17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2"/>
    </row>
    <row r="18" spans="1:46" s="6" customFormat="1" ht="24" customHeight="1" x14ac:dyDescent="0.75">
      <c r="A18" s="32" t="s">
        <v>9</v>
      </c>
      <c r="D18" s="26"/>
      <c r="E18" s="31"/>
      <c r="F18" s="31"/>
      <c r="G18" s="31"/>
      <c r="H18" s="31"/>
      <c r="I18" s="31"/>
      <c r="J18" s="31"/>
      <c r="K18" s="31"/>
      <c r="L18" s="31"/>
      <c r="M18" s="31"/>
      <c r="N18" s="24"/>
      <c r="P18" s="5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1"/>
    </row>
    <row r="19" spans="1:46" s="6" customFormat="1" ht="23.45" customHeight="1" x14ac:dyDescent="0.75">
      <c r="A19" s="27" t="s">
        <v>8</v>
      </c>
      <c r="D19" s="26"/>
      <c r="E19" s="31"/>
      <c r="F19" s="31"/>
      <c r="G19" s="31"/>
      <c r="H19" s="31"/>
      <c r="I19" s="31"/>
      <c r="J19" s="31"/>
      <c r="K19" s="31"/>
      <c r="L19" s="31"/>
      <c r="M19" s="31"/>
      <c r="N19" s="24"/>
      <c r="P19" s="5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1:46" s="6" customFormat="1" ht="9" customHeight="1" x14ac:dyDescent="0.75">
      <c r="A20" s="27" t="s">
        <v>7</v>
      </c>
      <c r="D20" s="26"/>
      <c r="E20" s="25"/>
      <c r="F20" s="25"/>
      <c r="G20" s="25"/>
      <c r="H20" s="25"/>
      <c r="I20" s="25"/>
      <c r="J20" s="25"/>
      <c r="K20" s="25"/>
      <c r="L20" s="25"/>
      <c r="M20" s="25"/>
      <c r="N20" s="24"/>
      <c r="P20" s="5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30"/>
    </row>
    <row r="21" spans="1:46" s="6" customFormat="1" ht="23.45" customHeight="1" x14ac:dyDescent="0.8">
      <c r="A21" s="29" t="s">
        <v>6</v>
      </c>
      <c r="D21" s="26"/>
      <c r="E21" s="25"/>
      <c r="F21" s="25"/>
      <c r="G21" s="25"/>
      <c r="H21" s="28"/>
      <c r="I21" s="25"/>
      <c r="J21" s="25"/>
      <c r="K21" s="25"/>
      <c r="L21" s="25"/>
      <c r="M21" s="25"/>
      <c r="N21" s="24"/>
      <c r="P21" s="5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1:46" s="6" customFormat="1" ht="16.95" customHeight="1" x14ac:dyDescent="0.75">
      <c r="A22" s="27" t="s">
        <v>5</v>
      </c>
      <c r="D22" s="26"/>
      <c r="E22" s="25"/>
      <c r="F22" s="25"/>
      <c r="G22" s="25"/>
      <c r="H22" s="25"/>
      <c r="I22" s="25"/>
      <c r="J22" s="25"/>
      <c r="K22" s="25"/>
      <c r="L22" s="25"/>
      <c r="M22" s="25"/>
      <c r="N22" s="24"/>
      <c r="P22" s="5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1:46" s="6" customFormat="1" ht="20.45" customHeight="1" x14ac:dyDescent="0.75">
      <c r="A23" s="27"/>
      <c r="D23" s="26"/>
      <c r="E23" s="25"/>
      <c r="F23" s="25"/>
      <c r="G23" s="25"/>
      <c r="H23" s="25"/>
      <c r="I23" s="25"/>
      <c r="J23" s="25"/>
      <c r="K23" s="25"/>
      <c r="L23" s="25"/>
      <c r="M23" s="25"/>
      <c r="N23" s="24"/>
      <c r="P23" s="5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1:46" s="6" customFormat="1" ht="15" customHeight="1" x14ac:dyDescent="0.75">
      <c r="A24"/>
      <c r="D24" s="26"/>
      <c r="E24" s="25"/>
      <c r="F24" s="25"/>
      <c r="G24" s="25"/>
      <c r="H24" s="25"/>
      <c r="I24" s="25"/>
      <c r="J24" s="25"/>
      <c r="K24" s="25"/>
      <c r="L24" s="25"/>
      <c r="M24" s="25"/>
      <c r="N24" s="24"/>
      <c r="P24" s="5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1:46" s="6" customFormat="1" ht="15" customHeight="1" x14ac:dyDescent="0.75">
      <c r="A25"/>
      <c r="D25" s="26"/>
      <c r="E25" s="25"/>
      <c r="F25" s="25"/>
      <c r="G25" s="25"/>
      <c r="H25" s="25"/>
      <c r="I25" s="25"/>
      <c r="J25" s="25"/>
      <c r="K25" s="25"/>
      <c r="L25" s="25"/>
      <c r="M25" s="25"/>
      <c r="N25" s="24"/>
      <c r="P25" s="5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46" s="6" customFormat="1" ht="42.7" customHeight="1" x14ac:dyDescent="0.75">
      <c r="A26"/>
      <c r="D26" s="26"/>
      <c r="E26" s="25"/>
      <c r="F26" s="25"/>
      <c r="G26" s="25"/>
      <c r="H26" s="25"/>
      <c r="I26" s="25"/>
      <c r="J26" s="25"/>
      <c r="K26" s="25"/>
      <c r="L26" s="25"/>
      <c r="M26" s="25"/>
      <c r="N26" s="24"/>
      <c r="P26" s="5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46" s="6" customFormat="1" ht="15" customHeight="1" x14ac:dyDescent="0.75">
      <c r="A27"/>
      <c r="D27" s="26"/>
      <c r="E27" s="25"/>
      <c r="F27" s="25"/>
      <c r="G27" s="25"/>
      <c r="H27" s="25"/>
      <c r="I27" s="25"/>
      <c r="J27" s="25"/>
      <c r="K27" s="25"/>
      <c r="L27" s="25"/>
      <c r="M27" s="25"/>
      <c r="N27" s="24"/>
      <c r="P27" s="5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</row>
    <row r="28" spans="1:46" s="6" customFormat="1" ht="15" customHeight="1" x14ac:dyDescent="0.75">
      <c r="A28"/>
      <c r="D28" s="26"/>
      <c r="E28" s="25"/>
      <c r="F28" s="25"/>
      <c r="G28" s="25"/>
      <c r="H28" s="25"/>
      <c r="I28" s="25"/>
      <c r="J28" s="25"/>
      <c r="K28" s="25"/>
      <c r="L28" s="25"/>
      <c r="M28" s="25"/>
      <c r="N28" s="24"/>
      <c r="P28" s="5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</row>
    <row r="29" spans="1:46" s="6" customFormat="1" ht="13.2" customHeight="1" x14ac:dyDescent="0.75">
      <c r="D29" s="26"/>
      <c r="E29" s="25"/>
      <c r="F29" s="25"/>
      <c r="G29" s="25"/>
      <c r="H29" s="25"/>
      <c r="I29" s="25"/>
      <c r="J29" s="25"/>
      <c r="K29" s="25"/>
      <c r="L29" s="25"/>
      <c r="M29" s="25"/>
      <c r="N29" s="24"/>
      <c r="P29" s="5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</row>
    <row r="30" spans="1:46" s="6" customFormat="1" ht="15" hidden="1" customHeight="1" x14ac:dyDescent="0.75">
      <c r="D30" s="26"/>
      <c r="E30" s="25"/>
      <c r="F30" s="25"/>
      <c r="G30" s="25"/>
      <c r="H30" s="25"/>
      <c r="I30" s="25"/>
      <c r="J30" s="25"/>
      <c r="K30" s="25"/>
      <c r="L30" s="25"/>
      <c r="M30" s="25"/>
      <c r="N30" s="24"/>
      <c r="P30" s="5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</row>
    <row r="31" spans="1:46" s="6" customFormat="1" ht="9.6999999999999993" customHeight="1" x14ac:dyDescent="0.75">
      <c r="D31" s="26"/>
      <c r="E31" s="25"/>
      <c r="F31" s="25"/>
      <c r="G31" s="25"/>
      <c r="H31" s="25"/>
      <c r="I31" s="25"/>
      <c r="J31" s="25"/>
      <c r="K31" s="25"/>
      <c r="L31" s="25"/>
      <c r="M31" s="25"/>
      <c r="N31" s="24"/>
      <c r="P31" s="2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</row>
    <row r="32" spans="1:46" ht="17.45" customHeight="1" x14ac:dyDescent="0.75">
      <c r="E32" s="23" t="s">
        <v>4</v>
      </c>
      <c r="F32" s="23"/>
      <c r="G32" s="22"/>
      <c r="H32" s="22"/>
      <c r="I32" s="22"/>
      <c r="J32" s="22"/>
      <c r="K32" s="20"/>
      <c r="L32" s="20"/>
      <c r="M32" s="20"/>
      <c r="N32" s="19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6"/>
    </row>
    <row r="33" spans="4:46" ht="9.6999999999999993" customHeight="1" x14ac:dyDescent="0.75">
      <c r="E33" s="16"/>
      <c r="F33" s="16"/>
      <c r="G33" s="22"/>
      <c r="H33" s="22"/>
      <c r="I33" s="22"/>
      <c r="J33" s="22"/>
      <c r="K33" s="20"/>
      <c r="L33" s="20"/>
      <c r="M33" s="20"/>
      <c r="N33" s="19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6"/>
    </row>
    <row r="34" spans="4:46" ht="31.2" customHeight="1" x14ac:dyDescent="0.75">
      <c r="E34" s="16" t="s">
        <v>3</v>
      </c>
      <c r="F34" s="16"/>
      <c r="G34" s="17"/>
      <c r="H34" s="17"/>
      <c r="I34" s="16" t="s">
        <v>2</v>
      </c>
      <c r="J34" s="16"/>
      <c r="K34" s="21"/>
      <c r="L34" s="21"/>
      <c r="M34" s="20"/>
      <c r="N34" s="19"/>
      <c r="P34" s="5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6"/>
    </row>
    <row r="35" spans="4:46" s="5" customFormat="1" ht="27" customHeight="1" x14ac:dyDescent="0.75">
      <c r="D35" s="18"/>
      <c r="E35" s="16" t="s">
        <v>1</v>
      </c>
      <c r="F35" s="16"/>
      <c r="G35" s="17"/>
      <c r="H35" s="17"/>
      <c r="I35" s="16" t="s">
        <v>0</v>
      </c>
      <c r="J35" s="16"/>
      <c r="K35" s="16"/>
      <c r="L35" s="16"/>
      <c r="M35" s="15"/>
      <c r="N35" s="14"/>
      <c r="P35" s="2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6"/>
    </row>
    <row r="36" spans="4:46" ht="9.75" customHeight="1" x14ac:dyDescent="0.75">
      <c r="E36" s="13"/>
      <c r="F36" s="12"/>
      <c r="G36" s="12"/>
      <c r="H36" s="11"/>
      <c r="I36" s="11"/>
      <c r="J36" s="10"/>
      <c r="K36" s="10"/>
      <c r="L36" s="10"/>
      <c r="M36" s="10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6"/>
    </row>
    <row r="37" spans="4:46" ht="10.5" customHeight="1" x14ac:dyDescent="0.75">
      <c r="F37" s="7"/>
      <c r="G37" s="8"/>
      <c r="H37" s="8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6"/>
    </row>
    <row r="38" spans="4:46" ht="14.75" x14ac:dyDescent="0.75">
      <c r="F38" s="9"/>
      <c r="G38" s="8"/>
      <c r="H38" s="8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6"/>
    </row>
    <row r="39" spans="4:46" ht="14.75" x14ac:dyDescent="0.75"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6"/>
    </row>
    <row r="40" spans="4:46" ht="14.75" x14ac:dyDescent="0.75">
      <c r="E40" s="7"/>
      <c r="F40" s="7"/>
      <c r="G40" s="7"/>
      <c r="H40" s="7"/>
      <c r="I40" s="7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6"/>
    </row>
    <row r="41" spans="4:46" ht="14.75" x14ac:dyDescent="0.75"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</row>
    <row r="42" spans="4:46" ht="14.75" x14ac:dyDescent="0.75"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</row>
    <row r="43" spans="4:46" ht="14.75" x14ac:dyDescent="0.75"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</row>
    <row r="44" spans="4:46" ht="14.75" x14ac:dyDescent="0.75"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5"/>
    </row>
    <row r="45" spans="4:46" ht="14.75" x14ac:dyDescent="0.75"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</row>
    <row r="46" spans="4:46" ht="14.75" x14ac:dyDescent="0.75"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</row>
    <row r="47" spans="4:46" ht="14.75" x14ac:dyDescent="0.75"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</row>
  </sheetData>
  <sheetProtection sheet="1" objects="1" scenarios="1" selectLockedCells="1"/>
  <mergeCells count="18">
    <mergeCell ref="K3:M3"/>
    <mergeCell ref="E4:F5"/>
    <mergeCell ref="I4:I5"/>
    <mergeCell ref="I6:J6"/>
    <mergeCell ref="K6:N6"/>
    <mergeCell ref="J4:J5"/>
    <mergeCell ref="K4:M5"/>
    <mergeCell ref="N4:N5"/>
    <mergeCell ref="E17:M17"/>
    <mergeCell ref="E18:M18"/>
    <mergeCell ref="E19:M19"/>
    <mergeCell ref="I7:J7"/>
    <mergeCell ref="K7:N7"/>
    <mergeCell ref="E9:F9"/>
    <mergeCell ref="H9:M9"/>
    <mergeCell ref="E16:M16"/>
    <mergeCell ref="K8:N8"/>
    <mergeCell ref="I8:J8"/>
  </mergeCells>
  <dataValidations count="3">
    <dataValidation type="list" allowBlank="1" showInputMessage="1" showErrorMessage="1" sqref="K7:N7" xr:uid="{0B38615A-DE05-4E49-83A5-2DB8F7C2E02B}">
      <formula1>Powder_Color</formula1>
    </dataValidation>
    <dataValidation type="list" allowBlank="1" showInputMessage="1" showErrorMessage="1" sqref="I8" xr:uid="{BC364A05-FCFB-452D-998B-3FEFC9794B8A}">
      <formula1>$A$18:$A$23</formula1>
    </dataValidation>
    <dataValidation allowBlank="1" showInputMessage="1" showErrorMessage="1" prompt="Enter Payment Method in cell at right, Check Number in cell D12, and Job in E12. Next instruction is in cell A14." sqref="D20" xr:uid="{DB85AF57-DAAB-4C80-B2EE-397B52CBCE11}"/>
  </dataValidations>
  <pageMargins left="0.25" right="0" top="0.5" bottom="0.57999999999999996" header="0.05" footer="0.2"/>
  <pageSetup scale="89" orientation="portrait" horizontalDpi="4294967293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IntakeSheet3</vt:lpstr>
      <vt:lpstr>JobNumber</vt:lpstr>
      <vt:lpstr>IntakeSheet3!Print_Area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Harley deBeaudrap</dc:creator>
  <cp:lastModifiedBy>Harley deBeaudrap</cp:lastModifiedBy>
  <dcterms:created xsi:type="dcterms:W3CDTF">2025-09-19T05:39:48Z</dcterms:created>
  <dcterms:modified xsi:type="dcterms:W3CDTF">2025-09-19T05:40:07Z</dcterms:modified>
</cp:coreProperties>
</file>